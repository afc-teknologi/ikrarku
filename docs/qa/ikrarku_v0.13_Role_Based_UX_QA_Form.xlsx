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fd1e911470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X QA Dashboard" sheetId="1" r:id="R2cbf2c9f8fb34e18"/>
    <x:sheet xmlns:r="http://schemas.openxmlformats.org/officeDocument/2006/relationships" name="Research Basis" sheetId="2" r:id="Rab0d7211c8fd440c"/>
    <x:sheet xmlns:r="http://schemas.openxmlformats.org/officeDocument/2006/relationships" name="Role Mapping" sheetId="3" r:id="R79fe615853834dfd"/>
    <x:sheet xmlns:r="http://schemas.openxmlformats.org/officeDocument/2006/relationships" name="Master UX QA" sheetId="4" r:id="R819f8c0c72a4476c"/>
    <x:sheet xmlns:r="http://schemas.openxmlformats.org/officeDocument/2006/relationships" name="UX Gap Register" sheetId="5" r:id="Rf4922e63e45a4ac6"/>
    <x:sheet xmlns:r="http://schemas.openxmlformats.org/officeDocument/2006/relationships" name="Feature Coverage" sheetId="6" r:id="R661a9510233d4830"/>
    <x:sheet xmlns:r="http://schemas.openxmlformats.org/officeDocument/2006/relationships" name="Tester Guide" sheetId="7" r:id="R6e915bf80d51418e"/>
    <x:sheet xmlns:r="http://schemas.openxmlformats.org/officeDocument/2006/relationships" name="Viewer" sheetId="8" r:id="R1c908cb612db40e1"/>
    <x:sheet xmlns:r="http://schemas.openxmlformats.org/officeDocument/2006/relationships" name="Customer" sheetId="9" r:id="R8719564f592c4548"/>
    <x:sheet xmlns:r="http://schemas.openxmlformats.org/officeDocument/2006/relationships" name="Web Designer" sheetId="10" r:id="R4deca3f9ee534e17"/>
    <x:sheet xmlns:r="http://schemas.openxmlformats.org/officeDocument/2006/relationships" name="Administrator" sheetId="11" r:id="R40f6127d1ec24b1e"/>
    <x:sheet xmlns:r="http://schemas.openxmlformats.org/officeDocument/2006/relationships" name="Customer Service" sheetId="12" r:id="Rbbed98a30b204040"/>
    <x:sheet xmlns:r="http://schemas.openxmlformats.org/officeDocument/2006/relationships" name="Reference" sheetId="13" r:id="R84fe17df163249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0C4134"/>
      <x:name val="Carlito"/>
    </x:font>
    <x:font>
      <x:sz val="11"/>
      <x:color rgb="FF253A33"/>
      <x:name val="Carlito"/>
    </x:font>
    <x:font>
      <x:b/>
      <x:sz val="13"/>
      <x:color rgb="FF0C4134"/>
      <x:name val="Carlito"/>
    </x:font>
    <x:font>
      <x:b/>
      <x:sz val="2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5946"/>
      </x:patternFill>
    </x:fill>
    <x:fill>
      <x:patternFill patternType="solid">
        <x:fgColor rgb="FF0C4134"/>
      </x:patternFill>
    </x:fill>
    <x:fill>
      <x:patternFill patternType="solid">
        <x:fgColor rgb="FFF8F2E7"/>
      </x:patternFill>
    </x:fill>
    <x:fill>
      <x:patternFill patternType="solid">
        <x:fgColor rgb="FFEAF2EE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  <x:dxfs count="38">
    <x:dxf>
      <x:font>
        <x:b/>
        <x:color rgb="FF176B49"/>
      </x:font>
      <x:fill>
        <x:patternFill patternType="solid">
          <x:bgColor rgb="FFDCF2E6"/>
        </x:patternFill>
      </x:fill>
    </x:dxf>
    <x:dxf>
      <x:font>
        <x:b/>
        <x:color rgb="FFB7791F"/>
      </x:font>
      <x:fill>
        <x:patternFill patternType="solid">
          <x:bgColor rgb="FFF7E8C8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4C6F95"/>
      </x:font>
      <x:fill>
        <x:patternFill patternType="solid">
          <x:bgColor rgb="FFE7ECF5"/>
        </x:patternFill>
      </x:fill>
    </x:dxf>
    <x:dxf>
      <x:font>
        <x:b/>
        <x:color rgb="FF176B49"/>
      </x:font>
      <x:fill>
        <x:patternFill patternType="solid">
          <x:bgColor rgb="FFDCF2E6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176B49"/>
      </x:font>
      <x:fill>
        <x:patternFill patternType="solid">
          <x:bgColor rgb="FFDCF2E6"/>
        </x:patternFill>
      </x:fill>
    </x:dxf>
    <x:dxf>
      <x:font>
        <x:b/>
        <x:color rgb="FFB7791F"/>
      </x:font>
      <x:fill>
        <x:patternFill patternType="solid">
          <x:bgColor rgb="FFF7E8C8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4C6F95"/>
      </x:font>
      <x:fill>
        <x:patternFill patternType="solid">
          <x:bgColor rgb="FFE7ECF5"/>
        </x:patternFill>
      </x:fill>
    </x:dxf>
    <x:dxf>
      <x:font>
        <x:b/>
        <x:color rgb="FF176B49"/>
      </x:font>
      <x:fill>
        <x:patternFill patternType="solid">
          <x:bgColor rgb="FFDCF2E6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176B49"/>
      </x:font>
      <x:fill>
        <x:patternFill patternType="solid">
          <x:bgColor rgb="FFDCF2E6"/>
        </x:patternFill>
      </x:fill>
    </x:dxf>
    <x:dxf>
      <x:font>
        <x:b/>
        <x:color rgb="FFB7791F"/>
      </x:font>
      <x:fill>
        <x:patternFill patternType="solid">
          <x:bgColor rgb="FFF7E8C8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4C6F95"/>
      </x:font>
      <x:fill>
        <x:patternFill patternType="solid">
          <x:bgColor rgb="FFE7ECF5"/>
        </x:patternFill>
      </x:fill>
    </x:dxf>
    <x:dxf>
      <x:font>
        <x:b/>
        <x:color rgb="FF176B49"/>
      </x:font>
      <x:fill>
        <x:patternFill patternType="solid">
          <x:bgColor rgb="FFDCF2E6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176B49"/>
      </x:font>
      <x:fill>
        <x:patternFill patternType="solid">
          <x:bgColor rgb="FFDCF2E6"/>
        </x:patternFill>
      </x:fill>
    </x:dxf>
    <x:dxf>
      <x:font>
        <x:b/>
        <x:color rgb="FFB7791F"/>
      </x:font>
      <x:fill>
        <x:patternFill patternType="solid">
          <x:bgColor rgb="FFF7E8C8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4C6F95"/>
      </x:font>
      <x:fill>
        <x:patternFill patternType="solid">
          <x:bgColor rgb="FFE7ECF5"/>
        </x:patternFill>
      </x:fill>
    </x:dxf>
    <x:dxf>
      <x:font>
        <x:b/>
        <x:color rgb="FF176B49"/>
      </x:font>
      <x:fill>
        <x:patternFill patternType="solid">
          <x:bgColor rgb="FFDCF2E6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176B49"/>
      </x:font>
      <x:fill>
        <x:patternFill patternType="solid">
          <x:bgColor rgb="FFDCF2E6"/>
        </x:patternFill>
      </x:fill>
    </x:dxf>
    <x:dxf>
      <x:font>
        <x:b/>
        <x:color rgb="FFB7791F"/>
      </x:font>
      <x:fill>
        <x:patternFill patternType="solid">
          <x:bgColor rgb="FFF7E8C8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4C6F95"/>
      </x:font>
      <x:fill>
        <x:patternFill patternType="solid">
          <x:bgColor rgb="FFE7ECF5"/>
        </x:patternFill>
      </x:fill>
    </x:dxf>
    <x:dxf>
      <x:font>
        <x:b/>
        <x:color rgb="FF176B49"/>
      </x:font>
      <x:fill>
        <x:patternFill patternType="solid">
          <x:bgColor rgb="FFDCF2E6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176B49"/>
      </x:font>
      <x:fill>
        <x:patternFill patternType="solid">
          <x:bgColor rgb="FFDCF2E6"/>
        </x:patternFill>
      </x:fill>
    </x:dxf>
    <x:dxf>
      <x:font>
        <x:b/>
        <x:color rgb="FFB7791F"/>
      </x:font>
      <x:fill>
        <x:patternFill patternType="solid">
          <x:bgColor rgb="FFF7E8C8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4C6F95"/>
      </x:font>
      <x:fill>
        <x:patternFill patternType="solid">
          <x:bgColor rgb="FFE7ECF5"/>
        </x:patternFill>
      </x:fill>
    </x:dxf>
    <x:dxf>
      <x:font>
        <x:b/>
        <x:color rgb="FF176B49"/>
      </x:font>
      <x:fill>
        <x:patternFill patternType="solid">
          <x:bgColor rgb="FFDCF2E6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B54747"/>
      </x:font>
      <x:fill>
        <x:patternFill patternType="solid">
          <x:bgColor rgb="FFF8DEDE"/>
        </x:patternFill>
      </x:fill>
    </x:dxf>
    <x:dxf>
      <x:font>
        <x:b/>
        <x:color rgb="FFB7791F"/>
      </x:font>
      <x:fill>
        <x:patternFill patternType="solid">
          <x:bgColor rgb="FFF7E8C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eda9b4dd39475a" /><Relationship Type="http://schemas.openxmlformats.org/officeDocument/2006/relationships/theme" Target="/xl/theme/theme1.xml" Id="R927d115a99c14696" /><Relationship Type="http://schemas.openxmlformats.org/officeDocument/2006/relationships/sharedStrings" Target="/xl/sharedStrings.xml" Id="R8103db0f7e2c4abb" /><Relationship Type="http://schemas.openxmlformats.org/officeDocument/2006/relationships/worksheet" Target="/xl/worksheets/sheet1.xml" Id="R2cbf2c9f8fb34e18" /><Relationship Type="http://schemas.openxmlformats.org/officeDocument/2006/relationships/worksheet" Target="/xl/worksheets/sheet2.xml" Id="Rab0d7211c8fd440c" /><Relationship Type="http://schemas.openxmlformats.org/officeDocument/2006/relationships/worksheet" Target="/xl/worksheets/sheet3.xml" Id="R79fe615853834dfd" /><Relationship Type="http://schemas.openxmlformats.org/officeDocument/2006/relationships/worksheet" Target="/xl/worksheets/sheet4.xml" Id="R819f8c0c72a4476c" /><Relationship Type="http://schemas.openxmlformats.org/officeDocument/2006/relationships/worksheet" Target="/xl/worksheets/sheet5.xml" Id="Rf4922e63e45a4ac6" /><Relationship Type="http://schemas.openxmlformats.org/officeDocument/2006/relationships/worksheet" Target="/xl/worksheets/sheet6.xml" Id="R661a9510233d4830" /><Relationship Type="http://schemas.openxmlformats.org/officeDocument/2006/relationships/worksheet" Target="/xl/worksheets/sheet7.xml" Id="R6e915bf80d51418e" /><Relationship Type="http://schemas.openxmlformats.org/officeDocument/2006/relationships/worksheet" Target="/xl/worksheets/sheet8.xml" Id="R1c908cb612db40e1" /><Relationship Type="http://schemas.openxmlformats.org/officeDocument/2006/relationships/worksheet" Target="/xl/worksheets/sheet9.xml" Id="R8719564f592c4548" /><Relationship Type="http://schemas.openxmlformats.org/officeDocument/2006/relationships/worksheet" Target="/xl/worksheets/sheet10.xml" Id="R4deca3f9ee534e17" /><Relationship Type="http://schemas.openxmlformats.org/officeDocument/2006/relationships/worksheet" Target="/xl/worksheets/sheet11.xml" Id="R40f6127d1ec24b1e" /><Relationship Type="http://schemas.openxmlformats.org/officeDocument/2006/relationships/worksheet" Target="/xl/worksheets/sheet12.xml" Id="Rbbed98a30b204040" /><Relationship Type="http://schemas.openxmlformats.org/officeDocument/2006/relationships/worksheet" Target="/xl/worksheets/sheet13.xml" Id="R84fe17df163249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88859551ae44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v0.13 UX Pre-Audit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'UX QA Dashboard'!$A$7:$A$11</c:f>
              <c:strCache>
                <c:ptCount val="0"/>
              </c:strCache>
            </c:strRef>
          </c:cat>
          <c:val>
            <c:numRef>
              <c:f>'UX QA Dashboard'!$B$7:$B$11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88859551ae44a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UXQATable" displayName="MasterUXQATable" ref="A1:Z153" headerRowCount="1" totalsRowCount="0" totalsRowShown="0">
  <x:tableColumns count="26">
    <x:tableColumn id="1" name="QA ID"/>
    <x:tableColumn id="2" name="Role"/>
    <x:tableColumn id="3" name="Journey Stage"/>
    <x:tableColumn id="4" name="Feature"/>
    <x:tableColumn id="5" name="User Task / Scenario"/>
    <x:tableColumn id="6" name="Best-Practice UX Expectation"/>
    <x:tableColumn id="7" name="UX Principle"/>
    <x:tableColumn id="8" name="Current v0.13 Observation"/>
    <x:tableColumn id="9" name="Pre-Audit Status"/>
    <x:tableColumn id="10" name="Recommended Improvement"/>
    <x:tableColumn id="11" name="Test Method"/>
    <x:tableColumn id="12" name="Priority"/>
    <x:tableColumn id="13" name="Target / Success Metric"/>
    <x:tableColumn id="14" name="Tester Result"/>
    <x:tableColumn id="15" name="Task Success"/>
    <x:tableColumn id="16" name="Time (sec)"/>
    <x:tableColumn id="17" name="Error Count"/>
    <x:tableColumn id="18" name="Assistance"/>
    <x:tableColumn id="19" name="SEQ (1-7)"/>
    <x:tableColumn id="20" name="Confidence (1-5)"/>
    <x:tableColumn id="21" name="Actual Observation"/>
    <x:tableColumn id="22" name="Defect ID"/>
    <x:tableColumn id="23" name="Source IDs"/>
    <x:tableColumn id="24" name="Tester"/>
    <x:tableColumn id="25" name="Test Date"/>
    <x:tableColumn id="2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iewerUXTable" displayName="ViewerUXTable" ref="A9:T38" headerRowCount="1" totalsRowCount="0" totalsRowShown="0">
  <x:tableColumns count="20">
    <x:tableColumn id="1" name="QA ID"/>
    <x:tableColumn id="2" name="Stage"/>
    <x:tableColumn id="3" name="Feature"/>
    <x:tableColumn id="4" name="Task / Scenario"/>
    <x:tableColumn id="5" name="Expected UX"/>
    <x:tableColumn id="6" name="Current v0.13"/>
    <x:tableColumn id="7" name="Pre-Audit"/>
    <x:tableColumn id="8" name="Recommendation"/>
    <x:tableColumn id="9" name="Priority"/>
    <x:tableColumn id="10" name="Target"/>
    <x:tableColumn id="11" name="Tester Result"/>
    <x:tableColumn id="12" name="Task Success"/>
    <x:tableColumn id="13" name="Time sec"/>
    <x:tableColumn id="14" name="Errors"/>
    <x:tableColumn id="15" name="Assistance"/>
    <x:tableColumn id="16" name="SEQ 1-7"/>
    <x:tableColumn id="17" name="Confidence 1-5"/>
    <x:tableColumn id="18" name="Actual Observation"/>
    <x:tableColumn id="19" name="Defect ID"/>
    <x:tableColumn id="20" name="Source 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stomerUXTable" displayName="CustomerUXTable" ref="A9:T44" headerRowCount="1" totalsRowCount="0" totalsRowShown="0">
  <x:tableColumns count="20">
    <x:tableColumn id="1" name="QA ID"/>
    <x:tableColumn id="2" name="Stage"/>
    <x:tableColumn id="3" name="Feature"/>
    <x:tableColumn id="4" name="Task / Scenario"/>
    <x:tableColumn id="5" name="Expected UX"/>
    <x:tableColumn id="6" name="Current v0.13"/>
    <x:tableColumn id="7" name="Pre-Audit"/>
    <x:tableColumn id="8" name="Recommendation"/>
    <x:tableColumn id="9" name="Priority"/>
    <x:tableColumn id="10" name="Target"/>
    <x:tableColumn id="11" name="Tester Result"/>
    <x:tableColumn id="12" name="Task Success"/>
    <x:tableColumn id="13" name="Time sec"/>
    <x:tableColumn id="14" name="Errors"/>
    <x:tableColumn id="15" name="Assistance"/>
    <x:tableColumn id="16" name="SEQ 1-7"/>
    <x:tableColumn id="17" name="Confidence 1-5"/>
    <x:tableColumn id="18" name="Actual Observation"/>
    <x:tableColumn id="19" name="Defect ID"/>
    <x:tableColumn id="20" name="Source I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ebDesignerUXTable" displayName="WebDesignerUXTable" ref="A9:T43" headerRowCount="1" totalsRowCount="0" totalsRowShown="0">
  <x:tableColumns count="20">
    <x:tableColumn id="1" name="QA ID"/>
    <x:tableColumn id="2" name="Stage"/>
    <x:tableColumn id="3" name="Feature"/>
    <x:tableColumn id="4" name="Task / Scenario"/>
    <x:tableColumn id="5" name="Expected UX"/>
    <x:tableColumn id="6" name="Current v0.13"/>
    <x:tableColumn id="7" name="Pre-Audit"/>
    <x:tableColumn id="8" name="Recommendation"/>
    <x:tableColumn id="9" name="Priority"/>
    <x:tableColumn id="10" name="Target"/>
    <x:tableColumn id="11" name="Tester Result"/>
    <x:tableColumn id="12" name="Task Success"/>
    <x:tableColumn id="13" name="Time sec"/>
    <x:tableColumn id="14" name="Errors"/>
    <x:tableColumn id="15" name="Assistance"/>
    <x:tableColumn id="16" name="SEQ 1-7"/>
    <x:tableColumn id="17" name="Confidence 1-5"/>
    <x:tableColumn id="18" name="Actual Observation"/>
    <x:tableColumn id="19" name="Defect ID"/>
    <x:tableColumn id="20" name="Source ID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dministratorUXTable" displayName="AdministratorUXTable" ref="A9:T36" headerRowCount="1" totalsRowCount="0" totalsRowShown="0">
  <x:tableColumns count="20">
    <x:tableColumn id="1" name="QA ID"/>
    <x:tableColumn id="2" name="Stage"/>
    <x:tableColumn id="3" name="Feature"/>
    <x:tableColumn id="4" name="Task / Scenario"/>
    <x:tableColumn id="5" name="Expected UX"/>
    <x:tableColumn id="6" name="Current v0.13"/>
    <x:tableColumn id="7" name="Pre-Audit"/>
    <x:tableColumn id="8" name="Recommendation"/>
    <x:tableColumn id="9" name="Priority"/>
    <x:tableColumn id="10" name="Target"/>
    <x:tableColumn id="11" name="Tester Result"/>
    <x:tableColumn id="12" name="Task Success"/>
    <x:tableColumn id="13" name="Time sec"/>
    <x:tableColumn id="14" name="Errors"/>
    <x:tableColumn id="15" name="Assistance"/>
    <x:tableColumn id="16" name="SEQ 1-7"/>
    <x:tableColumn id="17" name="Confidence 1-5"/>
    <x:tableColumn id="18" name="Actual Observation"/>
    <x:tableColumn id="19" name="Defect ID"/>
    <x:tableColumn id="20" name="Source ID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ustomerServiceUXTable" displayName="CustomerServiceUXTable" ref="A9:T36" headerRowCount="1" totalsRowCount="0" totalsRowShown="0">
  <x:tableColumns count="20">
    <x:tableColumn id="1" name="QA ID"/>
    <x:tableColumn id="2" name="Stage"/>
    <x:tableColumn id="3" name="Feature"/>
    <x:tableColumn id="4" name="Task / Scenario"/>
    <x:tableColumn id="5" name="Expected UX"/>
    <x:tableColumn id="6" name="Current v0.13"/>
    <x:tableColumn id="7" name="Pre-Audit"/>
    <x:tableColumn id="8" name="Recommendation"/>
    <x:tableColumn id="9" name="Priority"/>
    <x:tableColumn id="10" name="Target"/>
    <x:tableColumn id="11" name="Tester Result"/>
    <x:tableColumn id="12" name="Task Success"/>
    <x:tableColumn id="13" name="Time sec"/>
    <x:tableColumn id="14" name="Errors"/>
    <x:tableColumn id="15" name="Assistance"/>
    <x:tableColumn id="16" name="SEQ 1-7"/>
    <x:tableColumn id="17" name="Confidence 1-5"/>
    <x:tableColumn id="18" name="Actual Observation"/>
    <x:tableColumn id="19" name="Defect ID"/>
    <x:tableColumn id="20" name="Source 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754db9366d44e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f7f79e90ca9e4f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.xml" Id="R998805aa465545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.xml" Id="R96162d2cb07249e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4.xml" Id="Rb2c6fef13ab94e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5.xml" Id="Rdbe167cb7fed41e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6.xml" Id="R22afdf9e49bb4f2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8" hidden="0" customWidth="1"/>
    <x:col min="4" max="4" width="54" hidden="0" customWidth="1"/>
    <x:col min="5" max="5" width="54" hidden="0" customWidth="1"/>
    <x:col min="6" max="6" width="10" hidden="0" customWidth="1"/>
    <x:col min="7" max="7" width="12" hidden="0" customWidth="1"/>
    <x:col min="8" max="8" width="16" hidden="0" customWidth="1"/>
  </x:cols>
  <x:sheetData>
    <x:row r="1" ht="28" customHeight="1">
      <x:c r="A1" s="39" t="str">
        <x:v>ikrarku v0.13 — Role-Based UX QA Readiness</x:v>
      </x:c>
      <x:c r="B1" s="39"/>
      <x:c r="C1" s="39"/>
      <x:c r="D1" s="39"/>
      <x:c r="E1" s="39"/>
      <x:c r="F1" s="39"/>
      <x:c r="G1" s="39"/>
      <x:c r="H1" s="39"/>
    </x:row>
    <x:row r="2">
      <x:c r="A2" s="39"/>
      <x:c r="B2" s="39"/>
      <x:c r="C2" s="39"/>
      <x:c r="D2" s="39"/>
      <x:c r="E2" s="39"/>
      <x:c r="F2" s="39"/>
      <x:c r="G2" s="39"/>
      <x:c r="H2" s="39"/>
    </x:row>
    <x:row r="4">
      <x:c r="A4" s="43" t="str">
        <x:v>Pre-audit = source/flow heuristic review against researched UX expectations. It is NOT a replacement for human usability testing. Use the role sheets to execute moderated/unmoderated testing and close gaps.</x:v>
      </x:c>
      <x:c r="B4" s="43"/>
      <x:c r="C4" s="43"/>
      <x:c r="D4" s="43"/>
      <x:c r="E4" s="43"/>
      <x:c r="F4" s="43"/>
      <x:c r="G4" s="43"/>
      <x:c r="H4" s="43"/>
    </x:row>
    <x:row r="6">
      <x:c r="A6" s="3" t="str">
        <x:v>Current Pre-Audit</x:v>
      </x:c>
      <x:c r="B6" s="3" t="str">
        <x:v>Count</x:v>
      </x:c>
      <x:c r="D6" s="3" t="str">
        <x:v>Role</x:v>
      </x:c>
      <x:c r="E6" s="3" t="str">
        <x:v>Criteria</x:v>
      </x:c>
      <x:c r="F6" s="3" t="str">
        <x:v>Pre-Audit Maturity</x:v>
      </x:c>
      <x:c r="G6" s="3" t="str">
        <x:v>P0 Gaps</x:v>
      </x:c>
      <x:c r="H6" s="3" t="str">
        <x:v>Tester Pass Rate</x:v>
      </x:c>
    </x:row>
    <x:row r="7">
      <x:c r="A7" t="str">
        <x:v>Total Criteria</x:v>
      </x:c>
      <x:c r="B7" t="n">
        <x:f>COUNTA('Master UX QA'!A2:A153)</x:f>
        <x:v>152</x:v>
      </x:c>
      <x:c r="D7" t="str">
        <x:v>Viewer</x:v>
      </x:c>
      <x:c r="E7" t="n">
        <x:f>COUNTIF('Master UX QA'!B2:B153,"Viewer")</x:f>
        <x:v>29</x:v>
      </x:c>
      <x:c r="F7" s="46" t="n">
        <x:f>IF((COUNTIFS('Master UX QA'!B2:B153,"Viewer",'Master UX QA'!I2:I153,"Meets")+COUNTIFS('Master UX QA'!B2:B153,"Viewer",'Master UX QA'!I2:I153,"Partial")+COUNTIFS('Master UX QA'!B2:B153,"Viewer",'Master UX QA'!I2:I153,"Gap"))=0,0,(COUNTIFS('Master UX QA'!B2:B153,"Viewer",'Master UX QA'!I2:I153,"Meets")+0.5*COUNTIFS('Master UX QA'!B2:B153,"Viewer",'Master UX QA'!I2:I153,"Partial"))/(COUNTIFS('Master UX QA'!B2:B153,"Viewer",'Master UX QA'!I2:I153,"Meets")+COUNTIFS('Master UX QA'!B2:B153,"Viewer",'Master UX QA'!I2:I153,"Partial")+COUNTIFS('Master UX QA'!B2:B153,"Viewer",'Master UX QA'!I2:I153,"Gap")))</x:f>
        <x:v>0.5952380952380952</x:v>
      </x:c>
      <x:c r="G7" t="n">
        <x:f>COUNTIFS('Master UX QA'!B2:B153,"Viewer",'Master UX QA'!I2:I153,"Gap",'Master UX QA'!L2:L153,"P0")</x:f>
        <x:v>3</x:v>
      </x:c>
      <x:c r="H7" s="46" t="n">
        <x:f>IF((COUNTIFS('Master UX QA'!B2:B153,"Viewer",'Master UX QA'!N2:N153,"Pass")+COUNTIFS('Master UX QA'!B2:B153,"Viewer",'Master UX QA'!N2:N153,"Fail")+COUNTIFS('Master UX QA'!B2:B153,"Viewer",'Master UX QA'!N2:N153,"Blocked"))=0,0,COUNTIFS('Master UX QA'!B2:B153,"Viewer",'Master UX QA'!N2:N153,"Pass")/(COUNTIFS('Master UX QA'!B2:B153,"Viewer",'Master UX QA'!N2:N153,"Pass")+COUNTIFS('Master UX QA'!B2:B153,"Viewer",'Master UX QA'!N2:N153,"Fail")+COUNTIFS('Master UX QA'!B2:B153,"Viewer",'Master UX QA'!N2:N153,"Blocked")))</x:f>
        <x:v>0</x:v>
      </x:c>
    </x:row>
    <x:row r="8">
      <x:c r="A8" t="str">
        <x:v>Meets</x:v>
      </x:c>
      <x:c r="B8" t="n">
        <x:f>COUNTIF('Master UX QA'!I2:I153,"Meets")</x:f>
        <x:v>38</x:v>
      </x:c>
      <x:c r="D8" t="str">
        <x:v>Customer</x:v>
      </x:c>
      <x:c r="E8" t="n">
        <x:f>COUNTIF('Master UX QA'!B2:B153,"Customer")</x:f>
        <x:v>35</x:v>
      </x:c>
      <x:c r="F8" s="46" t="n">
        <x:f>IF((COUNTIFS('Master UX QA'!B2:B153,"Customer",'Master UX QA'!I2:I153,"Meets")+COUNTIFS('Master UX QA'!B2:B153,"Customer",'Master UX QA'!I2:I153,"Partial")+COUNTIFS('Master UX QA'!B2:B153,"Customer",'Master UX QA'!I2:I153,"Gap"))=0,0,(COUNTIFS('Master UX QA'!B2:B153,"Customer",'Master UX QA'!I2:I153,"Meets")+0.5*COUNTIFS('Master UX QA'!B2:B153,"Customer",'Master UX QA'!I2:I153,"Partial"))/(COUNTIFS('Master UX QA'!B2:B153,"Customer",'Master UX QA'!I2:I153,"Meets")+COUNTIFS('Master UX QA'!B2:B153,"Customer",'Master UX QA'!I2:I153,"Partial")+COUNTIFS('Master UX QA'!B2:B153,"Customer",'Master UX QA'!I2:I153,"Gap")))</x:f>
        <x:v>0.5757575757575758</x:v>
      </x:c>
      <x:c r="G8" t="n">
        <x:f>COUNTIFS('Master UX QA'!B2:B153,"Customer",'Master UX QA'!I2:I153,"Gap",'Master UX QA'!L2:L153,"P0")</x:f>
        <x:v>6</x:v>
      </x:c>
      <x:c r="H8" s="46" t="n">
        <x:f>IF((COUNTIFS('Master UX QA'!B2:B153,"Customer",'Master UX QA'!N2:N153,"Pass")+COUNTIFS('Master UX QA'!B2:B153,"Customer",'Master UX QA'!N2:N153,"Fail")+COUNTIFS('Master UX QA'!B2:B153,"Customer",'Master UX QA'!N2:N153,"Blocked"))=0,0,COUNTIFS('Master UX QA'!B2:B153,"Customer",'Master UX QA'!N2:N153,"Pass")/(COUNTIFS('Master UX QA'!B2:B153,"Customer",'Master UX QA'!N2:N153,"Pass")+COUNTIFS('Master UX QA'!B2:B153,"Customer",'Master UX QA'!N2:N153,"Fail")+COUNTIFS('Master UX QA'!B2:B153,"Customer",'Master UX QA'!N2:N153,"Blocked")))</x:f>
        <x:v>0</x:v>
      </x:c>
    </x:row>
    <x:row r="9">
      <x:c r="A9" t="str">
        <x:v>Partial</x:v>
      </x:c>
      <x:c r="B9" t="n">
        <x:f>COUNTIF('Master UX QA'!I2:I153,"Partial")</x:f>
        <x:v>54</x:v>
      </x:c>
      <x:c r="D9" t="str">
        <x:v>Web Designer</x:v>
      </x:c>
      <x:c r="E9" t="n">
        <x:f>COUNTIF('Master UX QA'!B2:B153,"Web Designer")</x:f>
        <x:v>34</x:v>
      </x:c>
      <x:c r="F9" s="46" t="n">
        <x:f>IF((COUNTIFS('Master UX QA'!B2:B153,"Web Designer",'Master UX QA'!I2:I153,"Meets")+COUNTIFS('Master UX QA'!B2:B153,"Web Designer",'Master UX QA'!I2:I153,"Partial")+COUNTIFS('Master UX QA'!B2:B153,"Web Designer",'Master UX QA'!I2:I153,"Gap"))=0,0,(COUNTIFS('Master UX QA'!B2:B153,"Web Designer",'Master UX QA'!I2:I153,"Meets")+0.5*COUNTIFS('Master UX QA'!B2:B153,"Web Designer",'Master UX QA'!I2:I153,"Partial"))/(COUNTIFS('Master UX QA'!B2:B153,"Web Designer",'Master UX QA'!I2:I153,"Meets")+COUNTIFS('Master UX QA'!B2:B153,"Web Designer",'Master UX QA'!I2:I153,"Partial")+COUNTIFS('Master UX QA'!B2:B153,"Web Designer",'Master UX QA'!I2:I153,"Gap")))</x:f>
        <x:v>0.4827586206896552</x:v>
      </x:c>
      <x:c r="G9" t="n">
        <x:f>COUNTIFS('Master UX QA'!B2:B153,"Web Designer",'Master UX QA'!I2:I153,"Gap",'Master UX QA'!L2:L153,"P0")</x:f>
        <x:v>3</x:v>
      </x:c>
      <x:c r="H9" s="46" t="n">
        <x:f>IF((COUNTIFS('Master UX QA'!B2:B153,"Web Designer",'Master UX QA'!N2:N153,"Pass")+COUNTIFS('Master UX QA'!B2:B153,"Web Designer",'Master UX QA'!N2:N153,"Fail")+COUNTIFS('Master UX QA'!B2:B153,"Web Designer",'Master UX QA'!N2:N153,"Blocked"))=0,0,COUNTIFS('Master UX QA'!B2:B153,"Web Designer",'Master UX QA'!N2:N153,"Pass")/(COUNTIFS('Master UX QA'!B2:B153,"Web Designer",'Master UX QA'!N2:N153,"Pass")+COUNTIFS('Master UX QA'!B2:B153,"Web Designer",'Master UX QA'!N2:N153,"Fail")+COUNTIFS('Master UX QA'!B2:B153,"Web Designer",'Master UX QA'!N2:N153,"Blocked")))</x:f>
        <x:v>0</x:v>
      </x:c>
    </x:row>
    <x:row r="10">
      <x:c r="A10" t="str">
        <x:v>Gap</x:v>
      </x:c>
      <x:c r="B10" t="n">
        <x:f>COUNTIF('Master UX QA'!I2:I153,"Gap")</x:f>
        <x:v>43</x:v>
      </x:c>
      <x:c r="D10" t="str">
        <x:v>Administrator</x:v>
      </x:c>
      <x:c r="E10" t="n">
        <x:f>COUNTIF('Master UX QA'!B2:B153,"Administrator")</x:f>
        <x:v>27</x:v>
      </x:c>
      <x:c r="F10" s="46" t="n">
        <x:f>IF((COUNTIFS('Master UX QA'!B2:B153,"Administrator",'Master UX QA'!I2:I153,"Meets")+COUNTIFS('Master UX QA'!B2:B153,"Administrator",'Master UX QA'!I2:I153,"Partial")+COUNTIFS('Master UX QA'!B2:B153,"Administrator",'Master UX QA'!I2:I153,"Gap"))=0,0,(COUNTIFS('Master UX QA'!B2:B153,"Administrator",'Master UX QA'!I2:I153,"Meets")+0.5*COUNTIFS('Master UX QA'!B2:B153,"Administrator",'Master UX QA'!I2:I153,"Partial"))/(COUNTIFS('Master UX QA'!B2:B153,"Administrator",'Master UX QA'!I2:I153,"Meets")+COUNTIFS('Master UX QA'!B2:B153,"Administrator",'Master UX QA'!I2:I153,"Partial")+COUNTIFS('Master UX QA'!B2:B153,"Administrator",'Master UX QA'!I2:I153,"Gap")))</x:f>
        <x:v>0.4423076923076923</x:v>
      </x:c>
      <x:c r="G10" t="n">
        <x:f>COUNTIFS('Master UX QA'!B2:B153,"Administrator",'Master UX QA'!I2:I153,"Gap",'Master UX QA'!L2:L153,"P0")</x:f>
        <x:v>6</x:v>
      </x:c>
      <x:c r="H10" s="46" t="n">
        <x:f>IF((COUNTIFS('Master UX QA'!B2:B153,"Administrator",'Master UX QA'!N2:N153,"Pass")+COUNTIFS('Master UX QA'!B2:B153,"Administrator",'Master UX QA'!N2:N153,"Fail")+COUNTIFS('Master UX QA'!B2:B153,"Administrator",'Master UX QA'!N2:N153,"Blocked"))=0,0,COUNTIFS('Master UX QA'!B2:B153,"Administrator",'Master UX QA'!N2:N153,"Pass")/(COUNTIFS('Master UX QA'!B2:B153,"Administrator",'Master UX QA'!N2:N153,"Pass")+COUNTIFS('Master UX QA'!B2:B153,"Administrator",'Master UX QA'!N2:N153,"Fail")+COUNTIFS('Master UX QA'!B2:B153,"Administrator",'Master UX QA'!N2:N153,"Blocked")))</x:f>
        <x:v>0</x:v>
      </x:c>
    </x:row>
    <x:row r="11">
      <x:c r="A11" t="str">
        <x:v>Needs User Test</x:v>
      </x:c>
      <x:c r="B11" t="n">
        <x:f>COUNTIF('Master UX QA'!I2:I153,"Needs User Test")</x:f>
        <x:v>17</x:v>
      </x:c>
      <x:c r="D11" t="str">
        <x:v>Customer Service</x:v>
      </x:c>
      <x:c r="E11" t="n">
        <x:f>COUNTIF('Master UX QA'!B2:B153,"Customer Service")</x:f>
        <x:v>27</x:v>
      </x:c>
      <x:c r="F11" s="46" t="n">
        <x:f>IF((COUNTIFS('Master UX QA'!B2:B153,"Customer Service",'Master UX QA'!I2:I153,"Meets")+COUNTIFS('Master UX QA'!B2:B153,"Customer Service",'Master UX QA'!I2:I153,"Partial")+COUNTIFS('Master UX QA'!B2:B153,"Customer Service",'Master UX QA'!I2:I153,"Gap"))=0,0,(COUNTIFS('Master UX QA'!B2:B153,"Customer Service",'Master UX QA'!I2:I153,"Meets")+0.5*COUNTIFS('Master UX QA'!B2:B153,"Customer Service",'Master UX QA'!I2:I153,"Partial"))/(COUNTIFS('Master UX QA'!B2:B153,"Customer Service",'Master UX QA'!I2:I153,"Meets")+COUNTIFS('Master UX QA'!B2:B153,"Customer Service",'Master UX QA'!I2:I153,"Partial")+COUNTIFS('Master UX QA'!B2:B153,"Customer Service",'Master UX QA'!I2:I153,"Gap")))</x:f>
        <x:v>0.3076923076923077</x:v>
      </x:c>
      <x:c r="G11" t="n">
        <x:f>COUNTIFS('Master UX QA'!B2:B153,"Customer Service",'Master UX QA'!I2:I153,"Gap",'Master UX QA'!L2:L153,"P0")</x:f>
        <x:v>6</x:v>
      </x:c>
      <x:c r="H11" s="46" t="n">
        <x:f>IF((COUNTIFS('Master UX QA'!B2:B153,"Customer Service",'Master UX QA'!N2:N153,"Pass")+COUNTIFS('Master UX QA'!B2:B153,"Customer Service",'Master UX QA'!N2:N153,"Fail")+COUNTIFS('Master UX QA'!B2:B153,"Customer Service",'Master UX QA'!N2:N153,"Blocked"))=0,0,COUNTIFS('Master UX QA'!B2:B153,"Customer Service",'Master UX QA'!N2:N153,"Pass")/(COUNTIFS('Master UX QA'!B2:B153,"Customer Service",'Master UX QA'!N2:N153,"Pass")+COUNTIFS('Master UX QA'!B2:B153,"Customer Service",'Master UX QA'!N2:N153,"Fail")+COUNTIFS('Master UX QA'!B2:B153,"Customer Service",'Master UX QA'!N2:N153,"Blocked")))</x:f>
        <x:v>0</x:v>
      </x:c>
    </x:row>
    <x:row r="12">
      <x:c r="A12" t="str">
        <x:v>P0 Gaps</x:v>
      </x:c>
      <x:c r="B12" t="n">
        <x:f>COUNTIFS('Master UX QA'!I2:I153,"Gap",'Master UX QA'!L2:L153,"P0")</x:f>
        <x:v>24</x:v>
      </x:c>
    </x:row>
    <x:row r="14">
      <x:c r="A14" s="32" t="str">
        <x:v>High-Priority Findings from Current v0.13 Source Audit</x:v>
      </x:c>
      <x:c r="B14" s="32"/>
      <x:c r="C14" s="32"/>
      <x:c r="D14" s="32"/>
      <x:c r="E14" s="32"/>
      <x:c r="F14" s="32"/>
      <x:c r="G14" s="32"/>
      <x:c r="H14" s="32"/>
    </x:row>
    <x:row r="15">
      <x:c r="A15" s="6" t="str">
        <x:v>Role</x:v>
      </x:c>
      <x:c r="B15" s="6" t="str">
        <x:v>Feature</x:v>
      </x:c>
      <x:c r="C15" s="6" t="str">
        <x:v>Critical user task</x:v>
      </x:c>
      <x:c r="D15" s="6" t="str">
        <x:v>Current issue</x:v>
      </x:c>
      <x:c r="E15" s="6" t="str">
        <x:v>Required improvement</x:v>
      </x:c>
      <x:c r="F15" s="6" t="str">
        <x:v>Priority</x:v>
      </x:c>
      <x:c r="G15" s="6" t="str">
        <x:v>Audit</x:v>
      </x:c>
      <x:c r="H15" s="6" t="str">
        <x:v>Source</x:v>
      </x:c>
    </x:row>
    <x:row r="16">
      <x:c r="A16" s="7" t="str">
        <x:v>Viewer</x:v>
      </x:c>
      <x:c r="B16" s="7" t="str">
        <x:v>Landing Page</x:v>
      </x:c>
      <x:c r="C16" s="7" t="str">
        <x:v>Understand what ikrarku offers within 10 seconds</x:v>
      </x:c>
      <x:c r="D16" s="7" t="str">
        <x:v>Hero explains wedding website + managed onboarding, but also surfaces 'Real DB', 'SQLite persistence', database status and other implementation jargon.</x:v>
      </x:c>
      <x:c r="E16" s="7" t="str">
        <x:v>Remove database/SQLite/internal architecture copy from Viewer UI; replace with trust/value messages such as secure payment, managed onboarding, responsive invitation.</x:v>
      </x:c>
      <x:c r="F16" s="7" t="str">
        <x:v>P0</x:v>
      </x:c>
      <x:c r="G16" s="7" t="str">
        <x:v>Gap</x:v>
      </x:c>
      <x:c r="H16" s="7" t="str">
        <x:v>R01</x:v>
      </x:c>
    </x:row>
    <x:row r="17">
      <x:c r="A17" s="7" t="str">
        <x:v>Viewer</x:v>
      </x:c>
      <x:c r="B17" s="7" t="str">
        <x:v>Template Preview</x:v>
      </x:c>
      <x:c r="C17" s="7" t="str">
        <x:v>Preview the actual product before purchase</x:v>
      </x:c>
      <x:c r="D17" s="7" t="str">
        <x:v>Current preview overlay is a stylized sample with hard-coded couple/date, not the actual saved template canvas.</x:v>
      </x:c>
      <x:c r="E17" s="7" t="str">
        <x:v>Render the actual template canvas in a sandboxed full-page preview with desktop/mobile switch.</x:v>
      </x:c>
      <x:c r="F17" s="7" t="str">
        <x:v>P0</x:v>
      </x:c>
      <x:c r="G17" s="7" t="str">
        <x:v>Gap</x:v>
      </x:c>
      <x:c r="H17" s="7" t="str">
        <x:v>R01</x:v>
      </x:c>
    </x:row>
    <x:row r="18">
      <x:c r="A18" s="7" t="str">
        <x:v>Viewer</x:v>
      </x:c>
      <x:c r="B18" s="7" t="str">
        <x:v>Payment Copy</x:v>
      </x:c>
      <x:c r="C18" s="7" t="str">
        <x:v>Complete payment without seeing internal staging concepts</x:v>
      </x:c>
      <x:c r="D18" s="7" t="str">
        <x:v>Checkout explicitly shows 'Secure database checkout' and 'Localhost payment mode'.</x:v>
      </x:c>
      <x:c r="E18" s="7" t="str">
        <x:v>Hide environment/debug copy from Viewer. Keep a separate staging banner only for authorized testers.</x:v>
      </x:c>
      <x:c r="F18" s="7" t="str">
        <x:v>P0</x:v>
      </x:c>
      <x:c r="G18" s="7" t="str">
        <x:v>Gap</x:v>
      </x:c>
      <x:c r="H18" s="7" t="str">
        <x:v>R01</x:v>
      </x:c>
    </x:row>
    <x:row r="19">
      <x:c r="A19" s="7" t="str">
        <x:v>Customer</x:v>
      </x:c>
      <x:c r="B19" s="7" t="str">
        <x:v>Role Language</x:v>
      </x:c>
      <x:c r="C19" s="7" t="str">
        <x:v>Recognize own role and navigation</x:v>
      </x:c>
      <x:c r="D19" s="7" t="str">
        <x:v>Backend/UI primarily calls the role 'User'; requested product language is 'Customer'.</x:v>
      </x:c>
      <x:c r="E19" s="7" t="str">
        <x:v>Rename customer-facing role/UI from User to Customer while keeping internal role IDs stable.</x:v>
      </x:c>
      <x:c r="F19" s="7" t="str">
        <x:v>P0</x:v>
      </x:c>
      <x:c r="G19" s="7" t="str">
        <x:v>Gap</x:v>
      </x:c>
      <x:c r="H19" s="7" t="str">
        <x:v>R01</x:v>
      </x:c>
    </x:row>
    <x:row r="20">
      <x:c r="A20" s="7" t="str">
        <x:v>Customer</x:v>
      </x:c>
      <x:c r="B20" s="7" t="str">
        <x:v>Login</x:v>
      </x:c>
      <x:c r="C20" s="7" t="str">
        <x:v>Sign in without internal/debug information</x:v>
      </x:c>
      <x:c r="D20" s="7" t="str">
        <x:v>Login pre-fills admin/admin and displays Superadmin hints/default credentials.</x:v>
      </x:c>
      <x:c r="E20" s="7" t="str">
        <x:v>Remove default admin credentials and database wording from non-local development builds.</x:v>
      </x:c>
      <x:c r="F20" s="7" t="str">
        <x:v>P0</x:v>
      </x:c>
      <x:c r="G20" s="7" t="str">
        <x:v>Gap</x:v>
      </x:c>
      <x:c r="H20" s="7" t="str">
        <x:v>R01,R03</x:v>
      </x:c>
      <x:c r="J20" s="27" t="str">
        <x:v>Interpretation:
• 'Meets' = source/flow evidence already aligns with expectation.
• 'Partial' = feature exists but UX is incomplete or needs refinement.
• 'Gap' = current flow materially misses the expectation.
• 'Needs User Test' = source audit cannot reliably judge comfort/usability.
Pre-Audit Maturity is a heuristic indicator: Meets=1, Partial=0.5, Gap=0; Needs User Test excluded.</x:v>
      </x:c>
      <x:c r="K20" s="27"/>
      <x:c r="L20" s="27"/>
      <x:c r="M20" s="27"/>
      <x:c r="N20" s="27"/>
      <x:c r="O20" s="27"/>
      <x:c r="P20" s="27"/>
    </x:row>
    <x:row r="21">
      <x:c r="A21" s="7" t="str">
        <x:v>Customer</x:v>
      </x:c>
      <x:c r="B21" s="7" t="str">
        <x:v>Completeness</x:v>
      </x:c>
      <x:c r="C21" s="7" t="str">
        <x:v>Trust the displayed completeness percentage</x:v>
      </x:c>
      <x:c r="D21" s="7" t="str">
        <x:v>Canvas completeness is calculated as 35 + feature count × 8, capped at 100.</x:v>
      </x:c>
      <x:c r="E21" s="7" t="str">
        <x:v>Replace with explicit checklist-based completeness (title, cover, event, location, RSVP, guest list, publish).</x:v>
      </x:c>
      <x:c r="F21" s="7" t="str">
        <x:v>P0</x:v>
      </x:c>
      <x:c r="G21" s="7" t="str">
        <x:v>Gap</x:v>
      </x:c>
      <x:c r="H21" s="7" t="str">
        <x:v>R01</x:v>
      </x:c>
      <x:c r="J21" s="27"/>
      <x:c r="K21" s="27"/>
      <x:c r="L21" s="27"/>
      <x:c r="M21" s="27"/>
      <x:c r="N21" s="27"/>
      <x:c r="O21" s="27"/>
      <x:c r="P21" s="27"/>
    </x:row>
    <x:row r="22">
      <x:c r="A22" s="7" t="str">
        <x:v>Customer</x:v>
      </x:c>
      <x:c r="B22" s="7" t="str">
        <x:v>Order History</x:v>
      </x:c>
      <x:c r="C22" s="7" t="str">
        <x:v>Track own purchased template and project status</x:v>
      </x:c>
      <x:c r="D22" s="7" t="str">
        <x:v>role_user has orders.create but no orders.view; no Customer order/project page is rendered.</x:v>
      </x:c>
      <x:c r="E22" s="7" t="str">
        <x:v>Add My Orders / Project Timeline with payment, assignment, task milestones, receipt and support thread.</x:v>
      </x:c>
      <x:c r="F22" s="7" t="str">
        <x:v>P0</x:v>
      </x:c>
      <x:c r="G22" s="7" t="str">
        <x:v>Gap</x:v>
      </x:c>
      <x:c r="H22" s="7" t="str">
        <x:v>R01,R02</x:v>
      </x:c>
      <x:c r="J22" s="27"/>
      <x:c r="K22" s="27"/>
      <x:c r="L22" s="27"/>
      <x:c r="M22" s="27"/>
      <x:c r="N22" s="27"/>
      <x:c r="O22" s="27"/>
      <x:c r="P22" s="27"/>
    </x:row>
    <x:row r="23">
      <x:c r="A23" s="7" t="str">
        <x:v>Customer</x:v>
      </x:c>
      <x:c r="B23" s="7" t="str">
        <x:v>Autosave &amp; Recovery</x:v>
      </x:c>
      <x:c r="C23" s="7" t="str">
        <x:v>Avoid losing work during long editing sessions</x:v>
      </x:c>
      <x:c r="D23" s="7" t="str">
        <x:v>Current editor relies on manual save plus Leave Save/Discard prompt; no revision history.</x:v>
      </x:c>
      <x:c r="E23" s="7" t="str">
        <x:v>Add autosave snapshots, undo/redo and revision history for site/template content.</x:v>
      </x:c>
      <x:c r="F23" s="7" t="str">
        <x:v>P0</x:v>
      </x:c>
      <x:c r="G23" s="7" t="str">
        <x:v>Gap</x:v>
      </x:c>
      <x:c r="H23" s="7" t="str">
        <x:v>R13,R14,R01</x:v>
      </x:c>
      <x:c r="J23" s="27"/>
      <x:c r="K23" s="27"/>
      <x:c r="L23" s="27"/>
      <x:c r="M23" s="27"/>
      <x:c r="N23" s="27"/>
      <x:c r="O23" s="27"/>
      <x:c r="P23" s="27"/>
    </x:row>
    <x:row r="24">
      <x:c r="A24" s="7" t="str">
        <x:v>Customer</x:v>
      </x:c>
      <x:c r="B24" s="7" t="str">
        <x:v>Settings Navigation</x:v>
      </x:c>
      <x:c r="C24" s="7" t="str">
        <x:v>Use General, Notifications, Domain and Privacy sections</x:v>
      </x:c>
      <x:c r="D24" s="7" t="str">
        <x:v>Settings shows General/Notifications/Domain/Privacy buttons, but only General is active and buttons have no switching behavior.</x:v>
      </x:c>
      <x:c r="E24" s="7" t="str">
        <x:v>Implement tabs fully or hide unavailable tabs until functional.</x:v>
      </x:c>
      <x:c r="F24" s="7" t="str">
        <x:v>P0</x:v>
      </x:c>
      <x:c r="G24" s="7" t="str">
        <x:v>Gap</x:v>
      </x:c>
      <x:c r="H24" s="7" t="str">
        <x:v>R01</x:v>
      </x:c>
      <x:c r="J24" s="27"/>
      <x:c r="K24" s="27"/>
      <x:c r="L24" s="27"/>
      <x:c r="M24" s="27"/>
      <x:c r="N24" s="27"/>
      <x:c r="O24" s="27"/>
      <x:c r="P24" s="27"/>
    </x:row>
    <x:row r="25">
      <x:c r="A25" s="7" t="str">
        <x:v>Web Designer</x:v>
      </x:c>
      <x:c r="B25" s="7" t="str">
        <x:v>Role Language</x:v>
      </x:c>
      <x:c r="C25" s="7" t="str">
        <x:v>Recognize professional role consistently</x:v>
      </x:c>
      <x:c r="D25" s="7" t="str">
        <x:v>System role and many labels still use 'Editor'; requested role is 'Web Designer'.</x:v>
      </x:c>
      <x:c r="E25" s="7" t="str">
        <x:v>Rename visible role/menu copy to Web Designer; preserve role_editor internally.</x:v>
      </x:c>
      <x:c r="F25" s="7" t="str">
        <x:v>P0</x:v>
      </x:c>
      <x:c r="G25" s="7" t="str">
        <x:v>Gap</x:v>
      </x:c>
      <x:c r="H25" s="7" t="str">
        <x:v>R01</x:v>
      </x:c>
      <x:c r="J25" s="27"/>
      <x:c r="K25" s="27"/>
      <x:c r="L25" s="27"/>
      <x:c r="M25" s="27"/>
      <x:c r="N25" s="27"/>
      <x:c r="O25" s="27"/>
      <x:c r="P25" s="27"/>
    </x:row>
    <x:row r="26">
      <x:c r="A26" s="7" t="str">
        <x:v>Web Designer</x:v>
      </x:c>
      <x:c r="B26" s="7" t="str">
        <x:v>Undo / Redo</x:v>
      </x:c>
      <x:c r="C26" s="7" t="str">
        <x:v>Recover from accidental edits immediately</x:v>
      </x:c>
      <x:c r="D26" s="7" t="str">
        <x:v>No global undo/redo stack is evident.</x:v>
      </x:c>
      <x:c r="E26" s="7" t="str">
        <x:v>Implement history stack with Undo/Redo keyboard shortcuts.</x:v>
      </x:c>
      <x:c r="F26" s="7" t="str">
        <x:v>P0</x:v>
      </x:c>
      <x:c r="G26" s="7" t="str">
        <x:v>Gap</x:v>
      </x:c>
      <x:c r="H26" s="7" t="str">
        <x:v>R01</x:v>
      </x:c>
    </x:row>
    <x:row r="27">
      <x:c r="A27" s="7" t="str">
        <x:v>Web Designer</x:v>
      </x:c>
      <x:c r="B27" s="7" t="str">
        <x:v>Autosave</x:v>
      </x:c>
      <x:c r="C27" s="7" t="str">
        <x:v>Protect long editing sessions</x:v>
      </x:c>
      <x:c r="D27" s="7" t="str">
        <x:v>Manual save plus leave prompt exists; no periodic autosave.</x:v>
      </x:c>
      <x:c r="E27" s="7" t="str">
        <x:v>Add server-backed autosave draft and last-saved timestamp.</x:v>
      </x:c>
      <x:c r="F27" s="7" t="str">
        <x:v>P0</x:v>
      </x:c>
      <x:c r="G27" s="7" t="str">
        <x:v>Gap</x:v>
      </x:c>
      <x:c r="H27" s="7" t="str">
        <x:v>R14,R01</x:v>
      </x:c>
    </x:row>
  </x:sheetData>
  <x:mergeCells>
    <x:mergeCell ref="A1:H2"/>
    <x:mergeCell ref="A4:H4"/>
    <x:mergeCell ref="A14:H14"/>
    <x:mergeCell ref="J20:P25"/>
  </x:mergeCells>
  <x:conditionalFormatting sqref="F7:F11">
    <x:cfRule type="colorScale" priority="1">
      <x:colorScale>
        <x:cfvo type="min"/>
        <x:cfvo type="percentile" val="50"/>
        <x:cfvo type="max"/>
        <x:color rgb="FFF8DEDE"/>
        <x:color rgb="FFF7E8C8"/>
        <x:color rgb="FFDCF2E6"/>
      </x:colorScale>
    </x:cfRule>
  </x:conditionalFormatting>
  <x:pageMargins left="0.7" right="0.7" top="0.75" bottom="0.75" header="0.3" footer="0.3"/>
  <x:drawing xmlns:r="http://schemas.openxmlformats.org/officeDocument/2006/relationships" r:id="Rd754db9366d44e4f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2" hidden="0" customWidth="1"/>
    <x:col min="4" max="4" width="68" hidden="0" customWidth="1"/>
    <x:col min="5" max="5" width="62" hidden="0" customWidth="1"/>
  </x:cols>
  <x:sheetData>
    <x:row r="1" ht="28" customHeight="1">
      <x:c r="A1" s="6" t="str">
        <x:v>Source ID</x:v>
      </x:c>
      <x:c r="B1" s="6" t="str">
        <x:v>Organization</x:v>
      </x:c>
      <x:c r="C1" s="6" t="str">
        <x:v>Reference</x:v>
      </x:c>
      <x:c r="D1" s="6" t="str">
        <x:v>UX implication for ikrarku</x:v>
      </x:c>
      <x:c r="E1" s="6" t="str">
        <x:v>URL</x:v>
      </x:c>
    </x:row>
    <x:row r="2">
      <x:c r="A2" s="7" t="str">
        <x:v>R01</x:v>
      </x:c>
      <x:c r="B2" s="7" t="str">
        <x:v>Nielsen Norman Group</x:v>
      </x:c>
      <x:c r="C2" s="7" t="str">
        <x:v>10 Usability Heuristics</x:v>
      </x:c>
      <x:c r="D2" s="7" t="str">
        <x:v>Visibility of status, match with real world, user control, consistency, error prevention, recognition, efficiency, minimalist design, recovery, help.</x:v>
      </x:c>
      <x:c r="E2" s="7" t="str">
        <x:v>https://www.nngroup.com/articles/ten-usability-heuristics/</x:v>
      </x:c>
    </x:row>
    <x:row r="3">
      <x:c r="A3" s="7" t="str">
        <x:v>R02</x:v>
      </x:c>
      <x:c r="B3" s="7" t="str">
        <x:v>Digital.gov</x:v>
      </x:c>
      <x:c r="C3" s="7" t="str">
        <x:v>Usability</x:v>
      </x:c>
      <x:c r="D3" s="7" t="str">
        <x:v>Usability testing should assess whether users can accomplish goals, including success rates and satisfaction.</x:v>
      </x:c>
      <x:c r="E3" s="7" t="str">
        <x:v>https://digital.gov/topics/usability</x:v>
      </x:c>
    </x:row>
    <x:row r="4">
      <x:c r="A4" s="7" t="str">
        <x:v>R03</x:v>
      </x:c>
      <x:c r="B4" s="7" t="str">
        <x:v>W3C WAI</x:v>
      </x:c>
      <x:c r="C4" s="7" t="str">
        <x:v>WCAG 2.2</x:v>
      </x:c>
      <x:c r="D4" s="7" t="str">
        <x:v>Accessibility baseline for web applications including keyboard, reflow, focus, input assistance and accessible authentication.</x:v>
      </x:c>
      <x:c r="E4" s="7" t="str">
        <x:v>https://www.w3.org/TR/WCAG22/</x:v>
      </x:c>
    </x:row>
    <x:row r="5">
      <x:c r="A5" s="7" t="str">
        <x:v>R04</x:v>
      </x:c>
      <x:c r="B5" s="7" t="str">
        <x:v>W3C WAI</x:v>
      </x:c>
      <x:c r="C5" s="7" t="str">
        <x:v>WCAG 2.5.7 Dragging Movements</x:v>
      </x:c>
      <x:c r="D5" s="7" t="str">
        <x:v>Functionality that uses dragging should also be achievable without dragging unless dragging is essential.</x:v>
      </x:c>
      <x:c r="E5" s="7" t="str">
        <x:v>https://www.w3.org/WAI/WCAG22/Understanding/dragging-movements.html</x:v>
      </x:c>
    </x:row>
    <x:row r="6">
      <x:c r="A6" s="7" t="str">
        <x:v>R05</x:v>
      </x:c>
      <x:c r="B6" s="7" t="str">
        <x:v>W3C WAI</x:v>
      </x:c>
      <x:c r="C6" s="7" t="str">
        <x:v>WCAG 2.5.8 Target Size</x:v>
      </x:c>
      <x:c r="D6" s="7" t="str">
        <x:v>Interactive targets need sufficient size/spacing to reduce accidental activation.</x:v>
      </x:c>
      <x:c r="E6" s="7" t="str">
        <x:v>https://www.w3.org/WAI/WCAG22/Understanding/target-size-minimum</x:v>
      </x:c>
    </x:row>
    <x:row r="7">
      <x:c r="A7" s="7" t="str">
        <x:v>R06</x:v>
      </x:c>
      <x:c r="B7" s="7" t="str">
        <x:v>Baymard Institute</x:v>
      </x:c>
      <x:c r="C7" s="7" t="str">
        <x:v>Checkout UX Guide</x:v>
      </x:c>
      <x:c r="D7" s="7" t="str">
        <x:v>Reduce checkout friction and audit form/payment flows based on observed ecommerce usability problems.</x:v>
      </x:c>
      <x:c r="E7" s="7" t="str">
        <x:v>https://baymard.com/learn/checkout-flow-ux-optimization</x:v>
      </x:c>
    </x:row>
    <x:row r="8">
      <x:c r="A8" s="7" t="str">
        <x:v>R07</x:v>
      </x:c>
      <x:c r="B8" s="7" t="str">
        <x:v>Baymard Institute</x:v>
      </x:c>
      <x:c r="C8" s="7" t="str">
        <x:v>Guest Checkout</x:v>
      </x:c>
      <x:c r="D8" s="7" t="str">
        <x:v>Guest checkout should remain prominent; avoid forcing account creation before purchase.</x:v>
      </x:c>
      <x:c r="E8" s="7" t="str">
        <x:v>https://baymard.com/blog/make-guest-checkout-prominent</x:v>
      </x:c>
    </x:row>
    <x:row r="9">
      <x:c r="A9" s="7" t="str">
        <x:v>R08</x:v>
      </x:c>
      <x:c r="B9" s="7" t="str">
        <x:v>Baymard Institute</x:v>
      </x:c>
      <x:c r="C9" s="7" t="str">
        <x:v>Checkout Form Fields</x:v>
      </x:c>
      <x:c r="D9" s="7" t="str">
        <x:v>Form field count and unnecessary data entry materially affect checkout usability.</x:v>
      </x:c>
      <x:c r="E9" s="7" t="str">
        <x:v>https://baymard.com/blog/checkout-flow-average-form-fields</x:v>
      </x:c>
    </x:row>
    <x:row r="10">
      <x:c r="A10" s="7" t="str">
        <x:v>R09</x:v>
      </x:c>
      <x:c r="B10" s="7" t="str">
        <x:v>Intercom Help</x:v>
      </x:c>
      <x:c r="C10" s="7" t="str">
        <x:v>Inbox Views</x:v>
      </x:c>
      <x:c r="D10" s="7" t="str">
        <x:v>Support inboxes benefit from simple views and filters such as status, team, and tags rather than one overloaded view.</x:v>
      </x:c>
      <x:c r="E10" s="7" t="str">
        <x:v>https://www.intercom.com/help/en/articles/6588834-organize-your-inbox-with-custom-views-and-folders</x:v>
      </x:c>
    </x:row>
    <x:row r="11">
      <x:c r="A11" s="7" t="str">
        <x:v>R10</x:v>
      </x:c>
      <x:c r="B11" s="7" t="str">
        <x:v>Intercom Help</x:v>
      </x:c>
      <x:c r="C11" s="7" t="str">
        <x:v>Balanced Assignment</x:v>
      </x:c>
      <x:c r="D11" s="7" t="str">
        <x:v>Balanced assignment routes conversations to available/relevant teammates and supports assignment limits/prioritization.</x:v>
      </x:c>
      <x:c r="E11" s="7" t="str">
        <x:v>https://www.intercom.com/help/en/articles/6553774-balanced-assignment-deep-dive</x:v>
      </x:c>
    </x:row>
    <x:row r="12">
      <x:c r="A12" s="7" t="str">
        <x:v>R11</x:v>
      </x:c>
      <x:c r="B12" s="7" t="str">
        <x:v>Intercom Help</x:v>
      </x:c>
      <x:c r="C12" s="7" t="str">
        <x:v>Inbox SLA Sorting</x:v>
      </x:c>
      <x:c r="D12" s="7" t="str">
        <x:v>Support inbox can prioritize conversations using First Reply / Next Reply SLA targets.</x:v>
      </x:c>
      <x:c r="E12" s="7" t="str">
        <x:v>https://www.intercom.com/help/en/articles/6989006-inbox-sorting</x:v>
      </x:c>
    </x:row>
    <x:row r="13">
      <x:c r="A13" s="7" t="str">
        <x:v>R12</x:v>
      </x:c>
      <x:c r="B13" s="7" t="str">
        <x:v>Intercom Help</x:v>
      </x:c>
      <x:c r="C13" s="7" t="str">
        <x:v>Conversation Events</x:v>
      </x:c>
      <x:c r="D13" s="7" t="str">
        <x:v>Conversation activity history can expose assignments, tags, AI interactions, SLA changes, and other events.</x:v>
      </x:c>
      <x:c r="E13" s="7" t="str">
        <x:v>https://www.intercom.com/help/en/articles/13334840-conversation-events-in-the-inbox</x:v>
      </x:c>
    </x:row>
    <x:row r="14">
      <x:c r="A14" s="7" t="str">
        <x:v>R13</x:v>
      </x:c>
      <x:c r="B14" s="7" t="str">
        <x:v>WordPress Documentation</x:v>
      </x:c>
      <x:c r="C14" s="7" t="str">
        <x:v>Revisions</x:v>
      </x:c>
      <x:c r="D14" s="7" t="str">
        <x:v>Content authoring benefits from revisions that let users inspect and restore previous versions.</x:v>
      </x:c>
      <x:c r="E14" s="7" t="str">
        <x:v>https://wordpress.org/documentation/article/revisions/</x:v>
      </x:c>
    </x:row>
    <x:row r="15">
      <x:c r="A15" s="7" t="str">
        <x:v>R14</x:v>
      </x:c>
      <x:c r="B15" s="7" t="str">
        <x:v>WordPress Developer Docs</x:v>
      </x:c>
      <x:c r="C15" s="7" t="str">
        <x:v>Autosave</x:v>
      </x:c>
      <x:c r="D15" s="7" t="str">
        <x:v>WordPress uses Ajax autosave revisions to reduce risk of losing authored content.</x:v>
      </x:c>
      <x:c r="E15" s="7" t="str">
        <x:v>https://developer.wordpress.org/advanced-administration/wordpress/wp-config/</x:v>
      </x:c>
    </x:row>
    <x:row r="16">
      <x:c r="A16" s="7" t="str">
        <x:v>R15</x:v>
      </x:c>
      <x:c r="B16" s="7" t="str">
        <x:v>NIST CSRC</x:v>
      </x:c>
      <x:c r="C16" s="7" t="str">
        <x:v>Least Privilege</x:v>
      </x:c>
      <x:c r="D16" s="7" t="str">
        <x:v>Users/roles should receive only the minimum access necessary to perform their assigned tasks.</x:v>
      </x:c>
      <x:c r="E16" s="7" t="str">
        <x:v>https://csrc.nist.gov/glossary/term/least_privilege</x:v>
      </x:c>
    </x:row>
    <x:row r="17">
      <x:c r="A17" s="7" t="str">
        <x:v>R16</x:v>
      </x:c>
      <x:c r="B17" s="7" t="str">
        <x:v>NIST CSRC</x:v>
      </x:c>
      <x:c r="C17" s="7" t="str">
        <x:v>Role-Based Access Control</x:v>
      </x:c>
      <x:c r="D17" s="7" t="str">
        <x:v>RBAC maps users to roles and roles to privileges in a way aligned with organizational structure.</x:v>
      </x:c>
      <x:c r="E17" s="7" t="str">
        <x:v>https://csrc.nist.gov/projects/role-based-access-control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7" hidden="0" customWidth="1"/>
    <x:col min="3" max="3" width="55" hidden="0" customWidth="1"/>
    <x:col min="4" max="4" width="56" hidden="0" customWidth="1"/>
    <x:col min="5" max="5" width="50" hidden="0" customWidth="1"/>
    <x:col min="6" max="6" width="52" hidden="0" customWidth="1"/>
  </x:cols>
  <x:sheetData>
    <x:row r="1" ht="28" customHeight="1">
      <x:c r="A1" s="6" t="str">
        <x:v>Role QA</x:v>
      </x:c>
      <x:c r="B1" s="6" t="str">
        <x:v>Current v0.13 Mapping</x:v>
      </x:c>
      <x:c r="C1" s="6" t="str">
        <x:v>Primary Jobs-to-be-Done</x:v>
      </x:c>
      <x:c r="D1" s="6" t="str">
        <x:v>Should Primarily See</x:v>
      </x:c>
      <x:c r="E1" s="6" t="str">
        <x:v>Should NOT Need by Default</x:v>
      </x:c>
      <x:c r="F1" s="6" t="str">
        <x:v>Critical UX Outcome</x:v>
      </x:c>
    </x:row>
    <x:row r="2">
      <x:c r="A2" s="7" t="str">
        <x:v>Viewer</x:v>
      </x:c>
      <x:c r="B2" s="7" t="str">
        <x:v>Unauthenticated public visitor + invitation guest</x:v>
      </x:c>
      <x:c r="C2" s="7" t="str">
        <x:v>Understand offer; browse template/article; checkout as guest; open invitation; RSVP/greeting; contact support</x:v>
      </x:c>
      <x:c r="D2" s="7" t="str">
        <x:v>Landing, catalog, template detail/preview, checkout, article, public invitation, RSVP, live chat</x:v>
      </x:c>
      <x:c r="E2" s="7" t="str">
        <x:v>Database/SQLite status, internal permissions, admin/editor terminology, technical staging concepts</x:v>
      </x:c>
      <x:c r="F2" s="7" t="str">
        <x:v>Can understand, purchase or respond to invitation without training.</x:v>
      </x:c>
    </x:row>
    <x:row r="3">
      <x:c r="A3" s="7" t="str">
        <x:v>Customer</x:v>
      </x:c>
      <x:c r="B3" s="7" t="str">
        <x:v>Current system role: User</x:v>
      </x:c>
      <x:c r="C3" s="7" t="str">
        <x:v>Own wedding website; manage content/guest list; preview/publish; track RSVP; contact team; track order/project</x:v>
      </x:c>
      <x:c r="D3" s="7" t="str">
        <x:v>Customer Dashboard, My Website, Templates, Site Pages, RSVP, My Orders/Project, Support, Account/Settings</x:v>
      </x:c>
      <x:c r="E3" s="7" t="str">
        <x:v>Full admin role configuration, global support queue, platform-wide orders, raw internal Canvas jargon where unnecessary</x:v>
      </x:c>
      <x:c r="F3" s="7" t="str">
        <x:v>Knows project/site status and can complete common changes without risking content.</x:v>
      </x:c>
    </x:row>
    <x:row r="4">
      <x:c r="A4" s="7" t="str">
        <x:v>Web Designer</x:v>
      </x:c>
      <x:c r="B4" s="7" t="str">
        <x:v>Current system role: Editor</x:v>
      </x:c>
      <x:c r="C4" s="7" t="str">
        <x:v>Manage assigned customer sites; create templates; edit Canvas; submit approval; complete design tasks; message assigned customer</x:v>
      </x:c>
      <x:c r="D4" s="7" t="str">
        <x:v>My Clients, My Tasks, Website/Template Editor, Template Submission Status, assigned project conversations</x:v>
      </x:c>
      <x:c r="E4" s="7" t="str">
        <x:v>Full CS queue, unrelated customer records, admin-only role/payment settings unless explicitly delegated</x:v>
      </x:c>
      <x:c r="F4" s="7" t="str">
        <x:v>Can produce and revise sites quickly with safe recovery and clear client context.</x:v>
      </x:c>
    </x:row>
    <x:row r="5">
      <x:c r="A5" s="7" t="str">
        <x:v>Administrator</x:v>
      </x:c>
      <x:c r="B5" s="7" t="str">
        <x:v>Current system role: Admin / Superadmin</x:v>
      </x:c>
      <x:c r="C5" s="7" t="str">
        <x:v>Operate platform; users/roles; template approval; orders; payment config; content/sound; CS oversight; governance</x:v>
      </x:c>
      <x:c r="D5" s="7" t="str">
        <x:v>Operational overview, exceptions, approvals, users/roles, orders, payment, articles, sounds, tasks, CS oversight, audit</x:v>
      </x:c>
      <x:c r="E5" s="7" t="str">
        <x:v>Customer-facing technical debug copy mixed into public UX</x:v>
      </x:c>
      <x:c r="F5" s="7" t="str">
        <x:v>Can understand platform state, safely approve/change high-impact settings, and trace actions.</x:v>
      </x:c>
    </x:row>
    <x:row r="6">
      <x:c r="A6" s="7" t="str">
        <x:v>Customer Service</x:v>
      </x:c>
      <x:c r="B6" s="7" t="str">
        <x:v>Current system role: Customer Service</x:v>
      </x:c>
      <x:c r="C6" s="7" t="str">
        <x:v>Triage inbound; reply; own conversations; follow up orders; coordinate tasks; contact customer</x:v>
      </x:c>
      <x:c r="D6" s="7" t="str">
        <x:v>CS Dashboard, filtered Inbox, SLA/assignment, conversation/customer/order context, My Tasks, outbound messaging</x:v>
      </x:c>
      <x:c r="E6" s="7" t="str">
        <x:v>Role management, template editing, payment configuration, broad data not needed for support</x:v>
      </x:c>
      <x:c r="F6" s="7" t="str">
        <x:v>Can identify next conversation, understand full customer context, reply and resolve quickly.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8" hidden="0" customWidth="1"/>
    <x:col min="4" max="4" width="22" hidden="0" customWidth="1"/>
    <x:col min="5" max="5" width="40" hidden="0" customWidth="1"/>
    <x:col min="6" max="6" width="52" hidden="0" customWidth="1"/>
    <x:col min="7" max="7" width="31" hidden="0" customWidth="1"/>
    <x:col min="8" max="8" width="52" hidden="0" customWidth="1"/>
    <x:col min="9" max="9" width="18" hidden="0" customWidth="1"/>
    <x:col min="10" max="10" width="52" hidden="0" customWidth="1"/>
    <x:col min="11" max="11" width="22" hidden="0" customWidth="1"/>
    <x:col min="12" max="12" width="10" hidden="0" customWidth="1"/>
    <x:col min="13" max="13" width="34" hidden="0" customWidth="1"/>
    <x:col min="14" max="14" width="14" hidden="0" customWidth="1"/>
    <x:col min="15" max="15" width="13" hidden="0" customWidth="1"/>
    <x:col min="16" max="16" width="12" hidden="0" customWidth="1"/>
    <x:col min="17" max="17" width="12" hidden="0" customWidth="1"/>
    <x:col min="18" max="18" width="13" hidden="0" customWidth="1"/>
    <x:col min="19" max="19" width="11" hidden="0" customWidth="1"/>
    <x:col min="20" max="20" width="15" hidden="0" customWidth="1"/>
    <x:col min="21" max="21" width="50" hidden="0" customWidth="1"/>
    <x:col min="22" max="22" width="14" hidden="0" customWidth="1"/>
    <x:col min="23" max="23" width="16" hidden="0" customWidth="1"/>
    <x:col min="24" max="24" width="18" hidden="0" customWidth="1"/>
    <x:col min="25" max="25" width="14" hidden="0" customWidth="1"/>
    <x:col min="26" max="26" width="32" hidden="0" customWidth="1"/>
  </x:cols>
  <x:sheetData>
    <x:row r="1" ht="28" customHeight="1">
      <x:c r="A1" s="10" t="str">
        <x:v>QA ID</x:v>
      </x:c>
      <x:c r="B1" s="10" t="str">
        <x:v>Role</x:v>
      </x:c>
      <x:c r="C1" s="10" t="str">
        <x:v>Journey Stage</x:v>
      </x:c>
      <x:c r="D1" s="10" t="str">
        <x:v>Feature</x:v>
      </x:c>
      <x:c r="E1" s="10" t="str">
        <x:v>User Task / Scenario</x:v>
      </x:c>
      <x:c r="F1" s="10" t="str">
        <x:v>Best-Practice UX Expectation</x:v>
      </x:c>
      <x:c r="G1" s="10" t="str">
        <x:v>UX Principle</x:v>
      </x:c>
      <x:c r="H1" s="10" t="str">
        <x:v>Current v0.13 Observation</x:v>
      </x:c>
      <x:c r="I1" s="10" t="str">
        <x:v>Pre-Audit Status</x:v>
      </x:c>
      <x:c r="J1" s="10" t="str">
        <x:v>Recommended Improvement</x:v>
      </x:c>
      <x:c r="K1" s="10" t="str">
        <x:v>Test Method</x:v>
      </x:c>
      <x:c r="L1" s="10" t="str">
        <x:v>Priority</x:v>
      </x:c>
      <x:c r="M1" s="10" t="str">
        <x:v>Target / Success Metric</x:v>
      </x:c>
      <x:c r="N1" s="10" t="str">
        <x:v>Tester Result</x:v>
      </x:c>
      <x:c r="O1" s="10" t="str">
        <x:v>Task Success</x:v>
      </x:c>
      <x:c r="P1" s="10" t="str">
        <x:v>Time (sec)</x:v>
      </x:c>
      <x:c r="Q1" s="10" t="str">
        <x:v>Error Count</x:v>
      </x:c>
      <x:c r="R1" s="10" t="str">
        <x:v>Assistance</x:v>
      </x:c>
      <x:c r="S1" s="10" t="str">
        <x:v>SEQ (1-7)</x:v>
      </x:c>
      <x:c r="T1" s="10" t="str">
        <x:v>Confidence (1-5)</x:v>
      </x:c>
      <x:c r="U1" s="10" t="str">
        <x:v>Actual Observation</x:v>
      </x:c>
      <x:c r="V1" s="10" t="str">
        <x:v>Defect ID</x:v>
      </x:c>
      <x:c r="W1" s="10" t="str">
        <x:v>Source IDs</x:v>
      </x:c>
      <x:c r="X1" s="10" t="str">
        <x:v>Tester</x:v>
      </x:c>
      <x:c r="Y1" s="10" t="str">
        <x:v>Test Date</x:v>
      </x:c>
      <x:c r="Z1" s="10" t="str">
        <x:v>Notes</x:v>
      </x:c>
    </x:row>
    <x:row r="2">
      <x:c r="A2" s="7" t="str">
        <x:v>UX-001</x:v>
      </x:c>
      <x:c r="B2" s="7" t="str">
        <x:v>Viewer</x:v>
      </x:c>
      <x:c r="C2" s="7" t="str">
        <x:v>Discover</x:v>
      </x:c>
      <x:c r="D2" s="7" t="str">
        <x:v>Landing Page</x:v>
      </x:c>
      <x:c r="E2" s="7" t="str">
        <x:v>Understand what ikrarku offers within 10 seconds</x:v>
      </x:c>
      <x:c r="F2" s="7" t="str">
        <x:v>Value proposition should use customer language, explain outcome, and present one obvious primary CTA.</x:v>
      </x:c>
      <x:c r="G2" s="7" t="str">
        <x:v>Match real world; minimalist design</x:v>
      </x:c>
      <x:c r="H2" s="7" t="str">
        <x:v>Hero explains wedding website + managed onboarding, but also surfaces 'Real DB', 'SQLite persistence', database status and other implementation jargon.</x:v>
      </x:c>
      <x:c r="I2" s="7" t="str">
        <x:v>Gap</x:v>
      </x:c>
      <x:c r="J2" s="7" t="str">
        <x:v>Remove database/SQLite/internal architecture copy from Viewer UI; replace with trust/value messages such as secure payment, managed onboarding, responsive invitation.</x:v>
      </x:c>
      <x:c r="K2" s="7" t="str">
        <x:v>Task-based usability</x:v>
      </x:c>
      <x:c r="L2" s="7" t="str">
        <x:v>P0</x:v>
      </x:c>
      <x:c r="M2" s="7" t="str">
        <x:v>Complete without facilitator; SEQ ≥5/7</x:v>
      </x:c>
      <x:c r="N2" s="7" t="str">
        <x:f>'Viewer'!K10</x:f>
        <x:v>Not Tested</x:v>
      </x:c>
      <x:c r="O2" s="7" t="n">
        <x:f>'Viewer'!L10</x:f>
        <x:v>0</x:v>
      </x:c>
      <x:c r="P2" s="7" t="n">
        <x:f>'Viewer'!M10</x:f>
        <x:v>0</x:v>
      </x:c>
      <x:c r="Q2" s="7" t="n">
        <x:f>'Viewer'!N10</x:f>
        <x:v>0</x:v>
      </x:c>
      <x:c r="R2" s="7" t="n">
        <x:f>'Viewer'!O10</x:f>
        <x:v>0</x:v>
      </x:c>
      <x:c r="S2" s="7" t="n">
        <x:f>'Viewer'!P10</x:f>
        <x:v>0</x:v>
      </x:c>
      <x:c r="T2" s="7" t="n">
        <x:f>'Viewer'!Q10</x:f>
        <x:v>0</x:v>
      </x:c>
      <x:c r="U2" s="7" t="n">
        <x:f>'Viewer'!R10</x:f>
        <x:v>0</x:v>
      </x:c>
      <x:c r="V2" s="7" t="str">
        <x:f>'Viewer'!S10</x:f>
      </x:c>
      <x:c r="W2" s="7" t="str">
        <x:v>R01</x:v>
      </x:c>
      <x:c r="X2" s="7" t="n">
        <x:f>'Viewer'!$B$5</x:f>
        <x:v>0</x:v>
      </x:c>
      <x:c r="Y2" s="48" t="n">
        <x:f>'Viewer'!V10</x:f>
        <x:v>0</x:v>
      </x:c>
      <x:c r="Z2" s="7" t="n">
        <x:f>'Viewer'!U10</x:f>
        <x:v>0</x:v>
      </x:c>
    </x:row>
    <x:row r="3">
      <x:c r="A3" s="7" t="str">
        <x:v>UX-002</x:v>
      </x:c>
      <x:c r="B3" s="7" t="str">
        <x:v>Viewer</x:v>
      </x:c>
      <x:c r="C3" s="7" t="str">
        <x:v>Discover</x:v>
      </x:c>
      <x:c r="D3" s="7" t="str">
        <x:v>Navigation</x:v>
      </x:c>
      <x:c r="E3" s="7" t="str">
        <x:v>Reach Templates, Articles, Sign In and primary CTA</x:v>
      </x:c>
      <x:c r="F3" s="7" t="str">
        <x:v>Navigation labels should be familiar, consistent and work with keyboard/focus.</x:v>
      </x:c>
      <x:c r="G3" s="7" t="str">
        <x:v>Consistency; accessibility</x:v>
      </x:c>
      <x:c r="H3" s="7" t="str">
        <x:v>Primary anchors and auth CTAs exist.</x:v>
      </x:c>
      <x:c r="I3" s="7" t="str">
        <x:v>Partial</x:v>
      </x:c>
      <x:c r="J3" s="7" t="str">
        <x:v>Validate keyboard focus, sticky/mobile navigation and active location; localize language consistently.</x:v>
      </x:c>
      <x:c r="K3" s="7" t="str">
        <x:v>Heuristic + keyboard</x:v>
      </x:c>
      <x:c r="L3" s="7" t="str">
        <x:v>P1</x:v>
      </x:c>
      <x:c r="M3" s="7" t="str">
        <x:v>Complete without facilitator; SEQ ≥5/7</x:v>
      </x:c>
      <x:c r="N3" s="7" t="str">
        <x:f>'Viewer'!K11</x:f>
        <x:v>Not Tested</x:v>
      </x:c>
      <x:c r="O3" s="7" t="n">
        <x:f>'Viewer'!L11</x:f>
        <x:v>0</x:v>
      </x:c>
      <x:c r="P3" s="7" t="n">
        <x:f>'Viewer'!M11</x:f>
        <x:v>0</x:v>
      </x:c>
      <x:c r="Q3" s="7" t="n">
        <x:f>'Viewer'!N11</x:f>
        <x:v>0</x:v>
      </x:c>
      <x:c r="R3" s="7" t="n">
        <x:f>'Viewer'!O11</x:f>
        <x:v>0</x:v>
      </x:c>
      <x:c r="S3" s="7" t="n">
        <x:f>'Viewer'!P11</x:f>
        <x:v>0</x:v>
      </x:c>
      <x:c r="T3" s="7" t="n">
        <x:f>'Viewer'!Q11</x:f>
        <x:v>0</x:v>
      </x:c>
      <x:c r="U3" s="7" t="n">
        <x:f>'Viewer'!R11</x:f>
        <x:v>0</x:v>
      </x:c>
      <x:c r="V3" s="7" t="str">
        <x:f>'Viewer'!S11</x:f>
      </x:c>
      <x:c r="W3" s="7" t="str">
        <x:v>R01,R03</x:v>
      </x:c>
      <x:c r="X3" s="7" t="n">
        <x:f>'Viewer'!$B$5</x:f>
        <x:v>0</x:v>
      </x:c>
      <x:c r="Y3" s="48" t="n">
        <x:f>'Viewer'!V11</x:f>
        <x:v>0</x:v>
      </x:c>
      <x:c r="Z3" s="7" t="n">
        <x:f>'Viewer'!U11</x:f>
        <x:v>0</x:v>
      </x:c>
    </x:row>
    <x:row r="4">
      <x:c r="A4" s="7" t="str">
        <x:v>UX-003</x:v>
      </x:c>
      <x:c r="B4" s="7" t="str">
        <x:v>Viewer</x:v>
      </x:c>
      <x:c r="C4" s="7" t="str">
        <x:v>Discover</x:v>
      </x:c>
      <x:c r="D4" s="7" t="str">
        <x:v>Landing Page</x:v>
      </x:c>
      <x:c r="E4" s="7" t="str">
        <x:v>Use site on mobile without horizontal overflow</x:v>
      </x:c>
      <x:c r="F4" s="7" t="str">
        <x:v>Content should reflow on small screens and preserve readable hierarchy.</x:v>
      </x:c>
      <x:c r="G4" s="7" t="str">
        <x:v>Responsive accessibility</x:v>
      </x:c>
      <x:c r="H4" s="7" t="str">
        <x:v>Responsive CSS exists but requires real device validation.</x:v>
      </x:c>
      <x:c r="I4" s="7" t="str">
        <x:v>Needs User Test</x:v>
      </x:c>
      <x:c r="J4" s="7" t="str">
        <x:v>Run 375/390px iOS + Android tests for navigation, template cards, chat and checkout.</x:v>
      </x:c>
      <x:c r="K4" s="7" t="str">
        <x:v>Device test</x:v>
      </x:c>
      <x:c r="L4" s="7" t="str">
        <x:v>P0</x:v>
      </x:c>
      <x:c r="M4" s="7" t="str">
        <x:v>Complete without facilitator; SEQ ≥5/7</x:v>
      </x:c>
      <x:c r="N4" s="7" t="str">
        <x:f>'Viewer'!K12</x:f>
        <x:v>Not Tested</x:v>
      </x:c>
      <x:c r="O4" s="7" t="n">
        <x:f>'Viewer'!L12</x:f>
        <x:v>0</x:v>
      </x:c>
      <x:c r="P4" s="7" t="n">
        <x:f>'Viewer'!M12</x:f>
        <x:v>0</x:v>
      </x:c>
      <x:c r="Q4" s="7" t="n">
        <x:f>'Viewer'!N12</x:f>
        <x:v>0</x:v>
      </x:c>
      <x:c r="R4" s="7" t="n">
        <x:f>'Viewer'!O12</x:f>
        <x:v>0</x:v>
      </x:c>
      <x:c r="S4" s="7" t="n">
        <x:f>'Viewer'!P12</x:f>
        <x:v>0</x:v>
      </x:c>
      <x:c r="T4" s="7" t="n">
        <x:f>'Viewer'!Q12</x:f>
        <x:v>0</x:v>
      </x:c>
      <x:c r="U4" s="7" t="n">
        <x:f>'Viewer'!R12</x:f>
        <x:v>0</x:v>
      </x:c>
      <x:c r="V4" s="7" t="str">
        <x:f>'Viewer'!S12</x:f>
      </x:c>
      <x:c r="W4" s="7" t="str">
        <x:v>R03</x:v>
      </x:c>
      <x:c r="X4" s="7" t="n">
        <x:f>'Viewer'!$B$5</x:f>
        <x:v>0</x:v>
      </x:c>
      <x:c r="Y4" s="48" t="n">
        <x:f>'Viewer'!V12</x:f>
        <x:v>0</x:v>
      </x:c>
      <x:c r="Z4" s="7" t="n">
        <x:f>'Viewer'!U12</x:f>
        <x:v>0</x:v>
      </x:c>
    </x:row>
    <x:row r="5">
      <x:c r="A5" s="7" t="str">
        <x:v>UX-004</x:v>
      </x:c>
      <x:c r="B5" s="7" t="str">
        <x:v>Viewer</x:v>
      </x:c>
      <x:c r="C5" s="7" t="str">
        <x:v>Discover</x:v>
      </x:c>
      <x:c r="D5" s="7" t="str">
        <x:v>Template Catalog</x:v>
      </x:c>
      <x:c r="E5" s="7" t="str">
        <x:v>Browse available templates</x:v>
      </x:c>
      <x:c r="F5" s="7" t="str">
        <x:v>Template cards should expose name, category, price and a clear route to detail/preview.</x:v>
      </x:c>
      <x:c r="G5" s="7" t="str">
        <x:v>Recognition; decision support</x:v>
      </x:c>
      <x:c r="H5" s="7" t="str">
        <x:v>Landing displays up to six templates with category, description and price.</x:v>
      </x:c>
      <x:c r="I5" s="7" t="str">
        <x:v>Meets</x:v>
      </x:c>
      <x:c r="J5" s="7" t="str">
        <x:v>Retain current card information hierarchy.</x:v>
      </x:c>
      <x:c r="K5" s="7" t="str">
        <x:v>Task-based usability</x:v>
      </x:c>
      <x:c r="L5" s="7" t="str">
        <x:v>P1</x:v>
      </x:c>
      <x:c r="M5" s="7" t="str">
        <x:v>Complete without facilitator; SEQ ≥5/7</x:v>
      </x:c>
      <x:c r="N5" s="7" t="str">
        <x:f>'Viewer'!K13</x:f>
        <x:v>Not Tested</x:v>
      </x:c>
      <x:c r="O5" s="7" t="n">
        <x:f>'Viewer'!L13</x:f>
        <x:v>0</x:v>
      </x:c>
      <x:c r="P5" s="7" t="n">
        <x:f>'Viewer'!M13</x:f>
        <x:v>0</x:v>
      </x:c>
      <x:c r="Q5" s="7" t="n">
        <x:f>'Viewer'!N13</x:f>
        <x:v>0</x:v>
      </x:c>
      <x:c r="R5" s="7" t="n">
        <x:f>'Viewer'!O13</x:f>
        <x:v>0</x:v>
      </x:c>
      <x:c r="S5" s="7" t="n">
        <x:f>'Viewer'!P13</x:f>
        <x:v>0</x:v>
      </x:c>
      <x:c r="T5" s="7" t="n">
        <x:f>'Viewer'!Q13</x:f>
        <x:v>0</x:v>
      </x:c>
      <x:c r="U5" s="7" t="n">
        <x:f>'Viewer'!R13</x:f>
        <x:v>0</x:v>
      </x:c>
      <x:c r="V5" s="7" t="str">
        <x:f>'Viewer'!S13</x:f>
      </x:c>
      <x:c r="W5" s="7" t="str">
        <x:v>R01</x:v>
      </x:c>
      <x:c r="X5" s="7" t="n">
        <x:f>'Viewer'!$B$5</x:f>
        <x:v>0</x:v>
      </x:c>
      <x:c r="Y5" s="48" t="n">
        <x:f>'Viewer'!V13</x:f>
        <x:v>0</x:v>
      </x:c>
      <x:c r="Z5" s="7" t="n">
        <x:f>'Viewer'!U13</x:f>
        <x:v>0</x:v>
      </x:c>
    </x:row>
    <x:row r="6">
      <x:c r="A6" s="7" t="str">
        <x:v>UX-005</x:v>
      </x:c>
      <x:c r="B6" s="7" t="str">
        <x:v>Viewer</x:v>
      </x:c>
      <x:c r="C6" s="7" t="str">
        <x:v>Discover</x:v>
      </x:c>
      <x:c r="D6" s="7" t="str">
        <x:v>Template Catalog</x:v>
      </x:c>
      <x:c r="E6" s="7" t="str">
        <x:v>Find a template when catalog grows beyond a few items</x:v>
      </x:c>
      <x:c r="F6" s="7" t="str">
        <x:v>Large catalogs need discoverability mechanisms such as search/filter/category browsing.</x:v>
      </x:c>
      <x:c r="G6" s="7" t="str">
        <x:v>Efficiency; recognition</x:v>
      </x:c>
      <x:c r="H6" s="7" t="str">
        <x:v>Landing hard-limits showcase to templates.slice(0,6); no public search/filter or 'View all' flow is evident.</x:v>
      </x:c>
      <x:c r="I6" s="7" t="str">
        <x:v>Gap</x:v>
      </x:c>
      <x:c r="J6" s="7" t="str">
        <x:v>Add View All Templates page with search, category, price and style filters.</x:v>
      </x:c>
      <x:c r="K6" s="7" t="str">
        <x:v>Task-based usability</x:v>
      </x:c>
      <x:c r="L6" s="7" t="str">
        <x:v>P1</x:v>
      </x:c>
      <x:c r="M6" s="7" t="str">
        <x:v>Complete without facilitator; SEQ ≥5/7</x:v>
      </x:c>
      <x:c r="N6" s="7" t="str">
        <x:f>'Viewer'!K14</x:f>
        <x:v>Not Tested</x:v>
      </x:c>
      <x:c r="O6" s="7" t="n">
        <x:f>'Viewer'!L14</x:f>
        <x:v>0</x:v>
      </x:c>
      <x:c r="P6" s="7" t="n">
        <x:f>'Viewer'!M14</x:f>
        <x:v>0</x:v>
      </x:c>
      <x:c r="Q6" s="7" t="n">
        <x:f>'Viewer'!N14</x:f>
        <x:v>0</x:v>
      </x:c>
      <x:c r="R6" s="7" t="n">
        <x:f>'Viewer'!O14</x:f>
        <x:v>0</x:v>
      </x:c>
      <x:c r="S6" s="7" t="n">
        <x:f>'Viewer'!P14</x:f>
        <x:v>0</x:v>
      </x:c>
      <x:c r="T6" s="7" t="n">
        <x:f>'Viewer'!Q14</x:f>
        <x:v>0</x:v>
      </x:c>
      <x:c r="U6" s="7" t="n">
        <x:f>'Viewer'!R14</x:f>
        <x:v>0</x:v>
      </x:c>
      <x:c r="V6" s="7" t="str">
        <x:f>'Viewer'!S14</x:f>
      </x:c>
      <x:c r="W6" s="7" t="str">
        <x:v>R01</x:v>
      </x:c>
      <x:c r="X6" s="7" t="n">
        <x:f>'Viewer'!$B$5</x:f>
        <x:v>0</x:v>
      </x:c>
      <x:c r="Y6" s="48" t="n">
        <x:f>'Viewer'!V14</x:f>
        <x:v>0</x:v>
      </x:c>
      <x:c r="Z6" s="7" t="n">
        <x:f>'Viewer'!U14</x:f>
        <x:v>0</x:v>
      </x:c>
    </x:row>
    <x:row r="7">
      <x:c r="A7" s="7" t="str">
        <x:v>UX-006</x:v>
      </x:c>
      <x:c r="B7" s="7" t="str">
        <x:v>Viewer</x:v>
      </x:c>
      <x:c r="C7" s="7" t="str">
        <x:v>Evaluate</x:v>
      </x:c>
      <x:c r="D7" s="7" t="str">
        <x:v>Template Detail</x:v>
      </x:c>
      <x:c r="E7" s="7" t="str">
        <x:v>Understand what a template includes before buying</x:v>
      </x:c>
      <x:c r="F7" s="7" t="str">
        <x:v>Detail page should communicate actual deliverables, price, responsive behavior and managed-service scope.</x:v>
      </x:c>
      <x:c r="G7" s="7" t="str">
        <x:v>Visibility; match real world</x:v>
      </x:c>
      <x:c r="H7" s="7" t="str">
        <x:v>Dedicated detail journey includes features, price and inclusions.</x:v>
      </x:c>
      <x:c r="I7" s="7" t="str">
        <x:v>Meets</x:v>
      </x:c>
      <x:c r="J7" s="7" t="str">
        <x:v>Add explicit revision/customization scope if commercial terms require it.</x:v>
      </x:c>
      <x:c r="K7" s="7" t="str">
        <x:v>Task-based usability</x:v>
      </x:c>
      <x:c r="L7" s="7" t="str">
        <x:v>P1</x:v>
      </x:c>
      <x:c r="M7" s="7" t="str">
        <x:v>Complete without facilitator; SEQ ≥5/7</x:v>
      </x:c>
      <x:c r="N7" s="7" t="str">
        <x:f>'Viewer'!K15</x:f>
        <x:v>Not Tested</x:v>
      </x:c>
      <x:c r="O7" s="7" t="n">
        <x:f>'Viewer'!L15</x:f>
        <x:v>0</x:v>
      </x:c>
      <x:c r="P7" s="7" t="n">
        <x:f>'Viewer'!M15</x:f>
        <x:v>0</x:v>
      </x:c>
      <x:c r="Q7" s="7" t="n">
        <x:f>'Viewer'!N15</x:f>
        <x:v>0</x:v>
      </x:c>
      <x:c r="R7" s="7" t="n">
        <x:f>'Viewer'!O15</x:f>
        <x:v>0</x:v>
      </x:c>
      <x:c r="S7" s="7" t="n">
        <x:f>'Viewer'!P15</x:f>
        <x:v>0</x:v>
      </x:c>
      <x:c r="T7" s="7" t="n">
        <x:f>'Viewer'!Q15</x:f>
        <x:v>0</x:v>
      </x:c>
      <x:c r="U7" s="7" t="n">
        <x:f>'Viewer'!R15</x:f>
        <x:v>0</x:v>
      </x:c>
      <x:c r="V7" s="7" t="str">
        <x:f>'Viewer'!S15</x:f>
      </x:c>
      <x:c r="W7" s="7" t="str">
        <x:v>R01</x:v>
      </x:c>
      <x:c r="X7" s="7" t="n">
        <x:f>'Viewer'!$B$5</x:f>
        <x:v>0</x:v>
      </x:c>
      <x:c r="Y7" s="48" t="n">
        <x:f>'Viewer'!V15</x:f>
        <x:v>0</x:v>
      </x:c>
      <x:c r="Z7" s="7" t="n">
        <x:f>'Viewer'!U15</x:f>
        <x:v>0</x:v>
      </x:c>
    </x:row>
    <x:row r="8">
      <x:c r="A8" s="7" t="str">
        <x:v>UX-007</x:v>
      </x:c>
      <x:c r="B8" s="7" t="str">
        <x:v>Viewer</x:v>
      </x:c>
      <x:c r="C8" s="7" t="str">
        <x:v>Evaluate</x:v>
      </x:c>
      <x:c r="D8" s="7" t="str">
        <x:v>Template Preview</x:v>
      </x:c>
      <x:c r="E8" s="7" t="str">
        <x:v>Preview the actual product before purchase</x:v>
      </x:c>
      <x:c r="F8" s="7" t="str">
        <x:v>Preview should represent the real template closely enough to support purchase decisions and be viewable across breakpoints.</x:v>
      </x:c>
      <x:c r="G8" s="7" t="str">
        <x:v>Accurate system feedback; decision support</x:v>
      </x:c>
      <x:c r="H8" s="7" t="str">
        <x:v>Current preview overlay is a stylized sample with hard-coded couple/date, not the actual saved template canvas.</x:v>
      </x:c>
      <x:c r="I8" s="7" t="str">
        <x:v>Gap</x:v>
      </x:c>
      <x:c r="J8" s="7" t="str">
        <x:v>Render the actual template canvas in a sandboxed full-page preview with desktop/mobile switch.</x:v>
      </x:c>
      <x:c r="K8" s="7" t="str">
        <x:v>Task-based usability</x:v>
      </x:c>
      <x:c r="L8" s="7" t="str">
        <x:v>P0</x:v>
      </x:c>
      <x:c r="M8" s="7" t="str">
        <x:v>Complete without facilitator; SEQ ≥5/7</x:v>
      </x:c>
      <x:c r="N8" s="7" t="str">
        <x:f>'Viewer'!K16</x:f>
        <x:v>Not Tested</x:v>
      </x:c>
      <x:c r="O8" s="7" t="n">
        <x:f>'Viewer'!L16</x:f>
        <x:v>0</x:v>
      </x:c>
      <x:c r="P8" s="7" t="n">
        <x:f>'Viewer'!M16</x:f>
        <x:v>0</x:v>
      </x:c>
      <x:c r="Q8" s="7" t="n">
        <x:f>'Viewer'!N16</x:f>
        <x:v>0</x:v>
      </x:c>
      <x:c r="R8" s="7" t="n">
        <x:f>'Viewer'!O16</x:f>
        <x:v>0</x:v>
      </x:c>
      <x:c r="S8" s="7" t="n">
        <x:f>'Viewer'!P16</x:f>
        <x:v>0</x:v>
      </x:c>
      <x:c r="T8" s="7" t="n">
        <x:f>'Viewer'!Q16</x:f>
        <x:v>0</x:v>
      </x:c>
      <x:c r="U8" s="7" t="n">
        <x:f>'Viewer'!R16</x:f>
        <x:v>0</x:v>
      </x:c>
      <x:c r="V8" s="7" t="str">
        <x:f>'Viewer'!S16</x:f>
      </x:c>
      <x:c r="W8" s="7" t="str">
        <x:v>R01</x:v>
      </x:c>
      <x:c r="X8" s="7" t="n">
        <x:f>'Viewer'!$B$5</x:f>
        <x:v>0</x:v>
      </x:c>
      <x:c r="Y8" s="48" t="n">
        <x:f>'Viewer'!V16</x:f>
        <x:v>0</x:v>
      </x:c>
      <x:c r="Z8" s="7" t="n">
        <x:f>'Viewer'!U16</x:f>
        <x:v>0</x:v>
      </x:c>
    </x:row>
    <x:row r="9">
      <x:c r="A9" s="7" t="str">
        <x:v>UX-008</x:v>
      </x:c>
      <x:c r="B9" s="7" t="str">
        <x:v>Viewer</x:v>
      </x:c>
      <x:c r="C9" s="7" t="str">
        <x:v>Evaluate</x:v>
      </x:c>
      <x:c r="D9" s="7" t="str">
        <x:v>Price</x:v>
      </x:c>
      <x:c r="E9" s="7" t="str">
        <x:v>Know the total price without ambiguity</x:v>
      </x:c>
      <x:c r="F9" s="7" t="str">
        <x:v>Price should be visible before checkout and remain consistent through order summary.</x:v>
      </x:c>
      <x:c r="G9" s="7" t="str">
        <x:v>Visibility of status</x:v>
      </x:c>
      <x:c r="H9" s="7" t="str">
        <x:v>Template detail and checkout both display price.</x:v>
      </x:c>
      <x:c r="I9" s="7" t="str">
        <x:v>Meets</x:v>
      </x:c>
      <x:c r="J9" s="7" t="str">
        <x:v>Add tax/fee disclosure if applicable before production.</x:v>
      </x:c>
      <x:c r="K9" s="7" t="str">
        <x:v>Task-based usability</x:v>
      </x:c>
      <x:c r="L9" s="7" t="str">
        <x:v>P1</x:v>
      </x:c>
      <x:c r="M9" s="7" t="str">
        <x:v>Complete without facilitator; SEQ ≥5/7</x:v>
      </x:c>
      <x:c r="N9" s="7" t="str">
        <x:f>'Viewer'!K17</x:f>
        <x:v>Not Tested</x:v>
      </x:c>
      <x:c r="O9" s="7" t="n">
        <x:f>'Viewer'!L17</x:f>
        <x:v>0</x:v>
      </x:c>
      <x:c r="P9" s="7" t="n">
        <x:f>'Viewer'!M17</x:f>
        <x:v>0</x:v>
      </x:c>
      <x:c r="Q9" s="7" t="n">
        <x:f>'Viewer'!N17</x:f>
        <x:v>0</x:v>
      </x:c>
      <x:c r="R9" s="7" t="n">
        <x:f>'Viewer'!O17</x:f>
        <x:v>0</x:v>
      </x:c>
      <x:c r="S9" s="7" t="n">
        <x:f>'Viewer'!P17</x:f>
        <x:v>0</x:v>
      </x:c>
      <x:c r="T9" s="7" t="n">
        <x:f>'Viewer'!Q17</x:f>
        <x:v>0</x:v>
      </x:c>
      <x:c r="U9" s="7" t="n">
        <x:f>'Viewer'!R17</x:f>
        <x:v>0</x:v>
      </x:c>
      <x:c r="V9" s="7" t="str">
        <x:f>'Viewer'!S17</x:f>
      </x:c>
      <x:c r="W9" s="7" t="str">
        <x:v>R01,R06</x:v>
      </x:c>
      <x:c r="X9" s="7" t="n">
        <x:f>'Viewer'!$B$5</x:f>
        <x:v>0</x:v>
      </x:c>
      <x:c r="Y9" s="48" t="n">
        <x:f>'Viewer'!V17</x:f>
        <x:v>0</x:v>
      </x:c>
      <x:c r="Z9" s="7" t="n">
        <x:f>'Viewer'!U17</x:f>
        <x:v>0</x:v>
      </x:c>
    </x:row>
    <x:row r="10">
      <x:c r="A10" s="7" t="str">
        <x:v>UX-009</x:v>
      </x:c>
      <x:c r="B10" s="7" t="str">
        <x:v>Viewer</x:v>
      </x:c>
      <x:c r="C10" s="7" t="str">
        <x:v>Checkout</x:v>
      </x:c>
      <x:c r="D10" s="7" t="str">
        <x:v>Guest Checkout</x:v>
      </x:c>
      <x:c r="E10" s="7" t="str">
        <x:v>Place an order without being forced to create an account</x:v>
      </x:c>
      <x:c r="F10" s="7" t="str">
        <x:v>Guest checkout should be prominent; sign-in/register should remain optional rather than blocking purchase.</x:v>
      </x:c>
      <x:c r="G10" s="7" t="str">
        <x:v>Reduce friction</x:v>
      </x:c>
      <x:c r="H10" s="7" t="str">
        <x:v>Checkout allows name/email/phone first and offers optional Sign In/Register.</x:v>
      </x:c>
      <x:c r="I10" s="7" t="str">
        <x:v>Meets</x:v>
      </x:c>
      <x:c r="J10" s="7" t="str">
        <x:v>Keep guest checkout as the default order path.</x:v>
      </x:c>
      <x:c r="K10" s="7" t="str">
        <x:v>Task-based usability</x:v>
      </x:c>
      <x:c r="L10" s="7" t="str">
        <x:v>P0</x:v>
      </x:c>
      <x:c r="M10" s="7" t="str">
        <x:v>Complete without facilitator; SEQ ≥5/7</x:v>
      </x:c>
      <x:c r="N10" s="7" t="str">
        <x:f>'Viewer'!K18</x:f>
        <x:v>Not Tested</x:v>
      </x:c>
      <x:c r="O10" s="7" t="n">
        <x:f>'Viewer'!L18</x:f>
        <x:v>0</x:v>
      </x:c>
      <x:c r="P10" s="7" t="n">
        <x:f>'Viewer'!M18</x:f>
        <x:v>0</x:v>
      </x:c>
      <x:c r="Q10" s="7" t="n">
        <x:f>'Viewer'!N18</x:f>
        <x:v>0</x:v>
      </x:c>
      <x:c r="R10" s="7" t="n">
        <x:f>'Viewer'!O18</x:f>
        <x:v>0</x:v>
      </x:c>
      <x:c r="S10" s="7" t="n">
        <x:f>'Viewer'!P18</x:f>
        <x:v>0</x:v>
      </x:c>
      <x:c r="T10" s="7" t="n">
        <x:f>'Viewer'!Q18</x:f>
        <x:v>0</x:v>
      </x:c>
      <x:c r="U10" s="7" t="n">
        <x:f>'Viewer'!R18</x:f>
        <x:v>0</x:v>
      </x:c>
      <x:c r="V10" s="7" t="str">
        <x:f>'Viewer'!S18</x:f>
      </x:c>
      <x:c r="W10" s="7" t="str">
        <x:v>R06,R07</x:v>
      </x:c>
      <x:c r="X10" s="7" t="n">
        <x:f>'Viewer'!$B$5</x:f>
        <x:v>0</x:v>
      </x:c>
      <x:c r="Y10" s="48" t="n">
        <x:f>'Viewer'!V18</x:f>
        <x:v>0</x:v>
      </x:c>
      <x:c r="Z10" s="7" t="n">
        <x:f>'Viewer'!U18</x:f>
        <x:v>0</x:v>
      </x:c>
    </x:row>
    <x:row r="11">
      <x:c r="A11" s="7" t="str">
        <x:v>UX-010</x:v>
      </x:c>
      <x:c r="B11" s="7" t="str">
        <x:v>Viewer</x:v>
      </x:c>
      <x:c r="C11" s="7" t="str">
        <x:v>Checkout</x:v>
      </x:c>
      <x:c r="D11" s="7" t="str">
        <x:v>Customer Data</x:v>
      </x:c>
      <x:c r="E11" s="7" t="str">
        <x:v>Enter only information necessary for fulfilment</x:v>
      </x:c>
      <x:c r="F11" s="7" t="str">
        <x:v>Checkout should minimize fields and explain why required data is needed.</x:v>
      </x:c>
      <x:c r="G11" s="7" t="str">
        <x:v>Reduce data-entry burden</x:v>
      </x:c>
      <x:c r="H11" s="7" t="str">
        <x:v>Name, receipt email and WhatsApp phone are required with inline explanation.</x:v>
      </x:c>
      <x:c r="I11" s="7" t="str">
        <x:v>Meets</x:v>
      </x:c>
      <x:c r="J11" s="7" t="str">
        <x:v>Test if full name can be simplified and use country-aware phone formatting.</x:v>
      </x:c>
      <x:c r="K11" s="7" t="str">
        <x:v>Task-based usability</x:v>
      </x:c>
      <x:c r="L11" s="7" t="str">
        <x:v>P1</x:v>
      </x:c>
      <x:c r="M11" s="7" t="str">
        <x:v>Complete without facilitator; SEQ ≥5/7</x:v>
      </x:c>
      <x:c r="N11" s="7" t="str">
        <x:f>'Viewer'!K19</x:f>
        <x:v>Not Tested</x:v>
      </x:c>
      <x:c r="O11" s="7" t="n">
        <x:f>'Viewer'!L19</x:f>
        <x:v>0</x:v>
      </x:c>
      <x:c r="P11" s="7" t="n">
        <x:f>'Viewer'!M19</x:f>
        <x:v>0</x:v>
      </x:c>
      <x:c r="Q11" s="7" t="n">
        <x:f>'Viewer'!N19</x:f>
        <x:v>0</x:v>
      </x:c>
      <x:c r="R11" s="7" t="n">
        <x:f>'Viewer'!O19</x:f>
        <x:v>0</x:v>
      </x:c>
      <x:c r="S11" s="7" t="n">
        <x:f>'Viewer'!P19</x:f>
        <x:v>0</x:v>
      </x:c>
      <x:c r="T11" s="7" t="n">
        <x:f>'Viewer'!Q19</x:f>
        <x:v>0</x:v>
      </x:c>
      <x:c r="U11" s="7" t="n">
        <x:f>'Viewer'!R19</x:f>
        <x:v>0</x:v>
      </x:c>
      <x:c r="V11" s="7" t="str">
        <x:f>'Viewer'!S19</x:f>
      </x:c>
      <x:c r="W11" s="7" t="str">
        <x:v>R08</x:v>
      </x:c>
      <x:c r="X11" s="7" t="n">
        <x:f>'Viewer'!$B$5</x:f>
        <x:v>0</x:v>
      </x:c>
      <x:c r="Y11" s="48" t="n">
        <x:f>'Viewer'!V19</x:f>
        <x:v>0</x:v>
      </x:c>
      <x:c r="Z11" s="7" t="n">
        <x:f>'Viewer'!U19</x:f>
        <x:v>0</x:v>
      </x:c>
    </x:row>
    <x:row r="12">
      <x:c r="A12" s="7" t="str">
        <x:v>UX-011</x:v>
      </x:c>
      <x:c r="B12" s="7" t="str">
        <x:v>Viewer</x:v>
      </x:c>
      <x:c r="C12" s="7" t="str">
        <x:v>Checkout</x:v>
      </x:c>
      <x:c r="D12" s="7" t="str">
        <x:v>Validation</x:v>
      </x:c>
      <x:c r="E12" s="7" t="str">
        <x:v>Recover from invalid email/phone input</x:v>
      </x:c>
      <x:c r="F12" s="7" t="str">
        <x:v>Validation should be inline, specific, preserve input and identify how to fix the issue.</x:v>
      </x:c>
      <x:c r="G12" s="7" t="str">
        <x:v>Error prevention and recovery</x:v>
      </x:c>
      <x:c r="H12" s="7" t="str">
        <x:v>Email and phone receive inline validation messages.</x:v>
      </x:c>
      <x:c r="I12" s="7" t="str">
        <x:v>Meets</x:v>
      </x:c>
      <x:c r="J12" s="7" t="str">
        <x:v>Add focus-to-first-error and accessible error association.</x:v>
      </x:c>
      <x:c r="K12" s="7" t="str">
        <x:v>Negative task + accessibility</x:v>
      </x:c>
      <x:c r="L12" s="7" t="str">
        <x:v>P1</x:v>
      </x:c>
      <x:c r="M12" s="7" t="str">
        <x:v>Complete without facilitator; SEQ ≥5/7</x:v>
      </x:c>
      <x:c r="N12" s="7" t="str">
        <x:f>'Viewer'!K20</x:f>
        <x:v>Not Tested</x:v>
      </x:c>
      <x:c r="O12" s="7" t="n">
        <x:f>'Viewer'!L20</x:f>
        <x:v>0</x:v>
      </x:c>
      <x:c r="P12" s="7" t="n">
        <x:f>'Viewer'!M20</x:f>
        <x:v>0</x:v>
      </x:c>
      <x:c r="Q12" s="7" t="n">
        <x:f>'Viewer'!N20</x:f>
        <x:v>0</x:v>
      </x:c>
      <x:c r="R12" s="7" t="n">
        <x:f>'Viewer'!O20</x:f>
        <x:v>0</x:v>
      </x:c>
      <x:c r="S12" s="7" t="n">
        <x:f>'Viewer'!P20</x:f>
        <x:v>0</x:v>
      </x:c>
      <x:c r="T12" s="7" t="n">
        <x:f>'Viewer'!Q20</x:f>
        <x:v>0</x:v>
      </x:c>
      <x:c r="U12" s="7" t="n">
        <x:f>'Viewer'!R20</x:f>
        <x:v>0</x:v>
      </x:c>
      <x:c r="V12" s="7" t="str">
        <x:f>'Viewer'!S20</x:f>
      </x:c>
      <x:c r="W12" s="7" t="str">
        <x:v>R01,R03</x:v>
      </x:c>
      <x:c r="X12" s="7" t="n">
        <x:f>'Viewer'!$B$5</x:f>
        <x:v>0</x:v>
      </x:c>
      <x:c r="Y12" s="48" t="n">
        <x:f>'Viewer'!V20</x:f>
        <x:v>0</x:v>
      </x:c>
      <x:c r="Z12" s="7" t="n">
        <x:f>'Viewer'!U20</x:f>
        <x:v>0</x:v>
      </x:c>
    </x:row>
    <x:row r="13">
      <x:c r="A13" s="7" t="str">
        <x:v>UX-012</x:v>
      </x:c>
      <x:c r="B13" s="7" t="str">
        <x:v>Viewer</x:v>
      </x:c>
      <x:c r="C13" s="7" t="str">
        <x:v>Checkout</x:v>
      </x:c>
      <x:c r="D13" s="7" t="str">
        <x:v>Payment Methods</x:v>
      </x:c>
      <x:c r="E13" s="7" t="str">
        <x:v>Choose QRIS, GoPay or Card confidently</x:v>
      </x:c>
      <x:c r="F13" s="7" t="str">
        <x:v>Each method should have clear label, instructions, state and disabled/unavailable handling.</x:v>
      </x:c>
      <x:c r="G13" s="7" t="str">
        <x:v>Visibility; accessibility</x:v>
      </x:c>
      <x:c r="H13" s="7" t="str">
        <x:v>Enabled methods are shown as selectable cards.</x:v>
      </x:c>
      <x:c r="I13" s="7" t="str">
        <x:v>Partial</x:v>
      </x:c>
      <x:c r="J13" s="7" t="str">
        <x:v>Validate selected state contrast, keyboard selection and production gateway error states.</x:v>
      </x:c>
      <x:c r="K13" s="7" t="str">
        <x:v>Task-based usability</x:v>
      </x:c>
      <x:c r="L13" s="7" t="str">
        <x:v>P0</x:v>
      </x:c>
      <x:c r="M13" s="7" t="str">
        <x:v>Complete without facilitator; SEQ ≥5/7</x:v>
      </x:c>
      <x:c r="N13" s="7" t="str">
        <x:f>'Viewer'!K21</x:f>
        <x:v>Not Tested</x:v>
      </x:c>
      <x:c r="O13" s="7" t="n">
        <x:f>'Viewer'!L21</x:f>
        <x:v>0</x:v>
      </x:c>
      <x:c r="P13" s="7" t="n">
        <x:f>'Viewer'!M21</x:f>
        <x:v>0</x:v>
      </x:c>
      <x:c r="Q13" s="7" t="n">
        <x:f>'Viewer'!N21</x:f>
        <x:v>0</x:v>
      </x:c>
      <x:c r="R13" s="7" t="n">
        <x:f>'Viewer'!O21</x:f>
        <x:v>0</x:v>
      </x:c>
      <x:c r="S13" s="7" t="n">
        <x:f>'Viewer'!P21</x:f>
        <x:v>0</x:v>
      </x:c>
      <x:c r="T13" s="7" t="n">
        <x:f>'Viewer'!Q21</x:f>
        <x:v>0</x:v>
      </x:c>
      <x:c r="U13" s="7" t="n">
        <x:f>'Viewer'!R21</x:f>
        <x:v>0</x:v>
      </x:c>
      <x:c r="V13" s="7" t="str">
        <x:f>'Viewer'!S21</x:f>
      </x:c>
      <x:c r="W13" s="7" t="str">
        <x:v>R03,R06</x:v>
      </x:c>
      <x:c r="X13" s="7" t="n">
        <x:f>'Viewer'!$B$5</x:f>
        <x:v>0</x:v>
      </x:c>
      <x:c r="Y13" s="48" t="n">
        <x:f>'Viewer'!V21</x:f>
        <x:v>0</x:v>
      </x:c>
      <x:c r="Z13" s="7" t="n">
        <x:f>'Viewer'!U21</x:f>
        <x:v>0</x:v>
      </x:c>
    </x:row>
    <x:row r="14">
      <x:c r="A14" s="7" t="str">
        <x:v>UX-013</x:v>
      </x:c>
      <x:c r="B14" s="7" t="str">
        <x:v>Viewer</x:v>
      </x:c>
      <x:c r="C14" s="7" t="str">
        <x:v>Checkout</x:v>
      </x:c>
      <x:c r="D14" s="7" t="str">
        <x:v>Payment Copy</x:v>
      </x:c>
      <x:c r="E14" s="7" t="str">
        <x:v>Complete payment without seeing internal staging concepts</x:v>
      </x:c>
      <x:c r="F14" s="7" t="str">
        <x:v>Production-facing checkout must not expose localhost, database or implementation language.</x:v>
      </x:c>
      <x:c r="G14" s="7" t="str">
        <x:v>Match real world; trust</x:v>
      </x:c>
      <x:c r="H14" s="7" t="str">
        <x:v>Checkout explicitly shows 'Secure database checkout' and 'Localhost payment mode'.</x:v>
      </x:c>
      <x:c r="I14" s="7" t="str">
        <x:v>Gap</x:v>
      </x:c>
      <x:c r="J14" s="7" t="str">
        <x:v>Hide environment/debug copy from Viewer. Keep a separate staging banner only for authorized testers.</x:v>
      </x:c>
      <x:c r="K14" s="7" t="str">
        <x:v>Task-based usability</x:v>
      </x:c>
      <x:c r="L14" s="7" t="str">
        <x:v>P0</x:v>
      </x:c>
      <x:c r="M14" s="7" t="str">
        <x:v>Complete without facilitator; SEQ ≥5/7</x:v>
      </x:c>
      <x:c r="N14" s="7" t="str">
        <x:f>'Viewer'!K22</x:f>
        <x:v>Not Tested</x:v>
      </x:c>
      <x:c r="O14" s="7" t="n">
        <x:f>'Viewer'!L22</x:f>
        <x:v>0</x:v>
      </x:c>
      <x:c r="P14" s="7" t="n">
        <x:f>'Viewer'!M22</x:f>
        <x:v>0</x:v>
      </x:c>
      <x:c r="Q14" s="7" t="n">
        <x:f>'Viewer'!N22</x:f>
        <x:v>0</x:v>
      </x:c>
      <x:c r="R14" s="7" t="n">
        <x:f>'Viewer'!O22</x:f>
        <x:v>0</x:v>
      </x:c>
      <x:c r="S14" s="7" t="n">
        <x:f>'Viewer'!P22</x:f>
        <x:v>0</x:v>
      </x:c>
      <x:c r="T14" s="7" t="n">
        <x:f>'Viewer'!Q22</x:f>
        <x:v>0</x:v>
      </x:c>
      <x:c r="U14" s="7" t="n">
        <x:f>'Viewer'!R22</x:f>
        <x:v>0</x:v>
      </x:c>
      <x:c r="V14" s="7" t="str">
        <x:f>'Viewer'!S22</x:f>
      </x:c>
      <x:c r="W14" s="7" t="str">
        <x:v>R01</x:v>
      </x:c>
      <x:c r="X14" s="7" t="n">
        <x:f>'Viewer'!$B$5</x:f>
        <x:v>0</x:v>
      </x:c>
      <x:c r="Y14" s="48" t="n">
        <x:f>'Viewer'!V22</x:f>
        <x:v>0</x:v>
      </x:c>
      <x:c r="Z14" s="7" t="n">
        <x:f>'Viewer'!U22</x:f>
        <x:v>0</x:v>
      </x:c>
    </x:row>
    <x:row r="15">
      <x:c r="A15" s="7" t="str">
        <x:v>UX-014</x:v>
      </x:c>
      <x:c r="B15" s="7" t="str">
        <x:v>Viewer</x:v>
      </x:c>
      <x:c r="C15" s="7" t="str">
        <x:v>Checkout</x:v>
      </x:c>
      <x:c r="D15" s="7" t="str">
        <x:v>Payment Confirmation</x:v>
      </x:c>
      <x:c r="E15" s="7" t="str">
        <x:v>Know whether payment succeeded and what happens next</x:v>
      </x:c>
      <x:c r="F15" s="7" t="str">
        <x:v>Confirmation should show order number, amount, status, next steps and receipt access.</x:v>
      </x:c>
      <x:c r="G15" s="7" t="str">
        <x:v>Visibility of status</x:v>
      </x:c>
      <x:c r="H15" s="7" t="str">
        <x:v>Success page shows order, total, onboarding status, CS/Designer assignment and PDF link.</x:v>
      </x:c>
      <x:c r="I15" s="7" t="str">
        <x:v>Meets</x:v>
      </x:c>
      <x:c r="J15" s="7" t="str">
        <x:v>In production, display gateway reference and support contact if confirmation is delayed.</x:v>
      </x:c>
      <x:c r="K15" s="7" t="str">
        <x:v>Task-based usability</x:v>
      </x:c>
      <x:c r="L15" s="7" t="str">
        <x:v>P0</x:v>
      </x:c>
      <x:c r="M15" s="7" t="str">
        <x:v>Complete without facilitator; SEQ ≥5/7</x:v>
      </x:c>
      <x:c r="N15" s="7" t="str">
        <x:f>'Viewer'!K23</x:f>
        <x:v>Not Tested</x:v>
      </x:c>
      <x:c r="O15" s="7" t="n">
        <x:f>'Viewer'!L23</x:f>
        <x:v>0</x:v>
      </x:c>
      <x:c r="P15" s="7" t="n">
        <x:f>'Viewer'!M23</x:f>
        <x:v>0</x:v>
      </x:c>
      <x:c r="Q15" s="7" t="n">
        <x:f>'Viewer'!N23</x:f>
        <x:v>0</x:v>
      </x:c>
      <x:c r="R15" s="7" t="n">
        <x:f>'Viewer'!O23</x:f>
        <x:v>0</x:v>
      </x:c>
      <x:c r="S15" s="7" t="n">
        <x:f>'Viewer'!P23</x:f>
        <x:v>0</x:v>
      </x:c>
      <x:c r="T15" s="7" t="n">
        <x:f>'Viewer'!Q23</x:f>
        <x:v>0</x:v>
      </x:c>
      <x:c r="U15" s="7" t="n">
        <x:f>'Viewer'!R23</x:f>
        <x:v>0</x:v>
      </x:c>
      <x:c r="V15" s="7" t="str">
        <x:f>'Viewer'!S23</x:f>
      </x:c>
      <x:c r="W15" s="7" t="str">
        <x:v>R01</x:v>
      </x:c>
      <x:c r="X15" s="7" t="n">
        <x:f>'Viewer'!$B$5</x:f>
        <x:v>0</x:v>
      </x:c>
      <x:c r="Y15" s="48" t="n">
        <x:f>'Viewer'!V23</x:f>
        <x:v>0</x:v>
      </x:c>
      <x:c r="Z15" s="7" t="n">
        <x:f>'Viewer'!U23</x:f>
        <x:v>0</x:v>
      </x:c>
    </x:row>
    <x:row r="16">
      <x:c r="A16" s="7" t="str">
        <x:v>UX-015</x:v>
      </x:c>
      <x:c r="B16" s="7" t="str">
        <x:v>Viewer</x:v>
      </x:c>
      <x:c r="C16" s="7" t="str">
        <x:v>Checkout</x:v>
      </x:c>
      <x:c r="D16" s="7" t="str">
        <x:v>Return to Journey</x:v>
      </x:c>
      <x:c r="E16" s="7" t="str">
        <x:v>Sign in/register from checkout without losing purchase context</x:v>
      </x:c>
      <x:c r="F16" s="7" t="str">
        <x:v>Auth detours should return users to the same template/order journey and preserve entered data where safe.</x:v>
      </x:c>
      <x:c r="G16" s="7" t="str">
        <x:v>User control and continuity</x:v>
      </x:c>
      <x:c r="H16" s="7" t="str">
        <x:v>Sign In/Register changes view; no explicit return-to-checkout state is evident.</x:v>
      </x:c>
      <x:c r="I16" s="7" t="str">
        <x:v>Gap</x:v>
      </x:c>
      <x:c r="J16" s="7" t="str">
        <x:v>Persist checkout intent/template and return after authentication/verification.</x:v>
      </x:c>
      <x:c r="K16" s="7" t="str">
        <x:v>Task-based usability</x:v>
      </x:c>
      <x:c r="L16" s="7" t="str">
        <x:v>P1</x:v>
      </x:c>
      <x:c r="M16" s="7" t="str">
        <x:v>Complete without facilitator; SEQ ≥5/7</x:v>
      </x:c>
      <x:c r="N16" s="7" t="str">
        <x:f>'Viewer'!K24</x:f>
        <x:v>Not Tested</x:v>
      </x:c>
      <x:c r="O16" s="7" t="n">
        <x:f>'Viewer'!L24</x:f>
        <x:v>0</x:v>
      </x:c>
      <x:c r="P16" s="7" t="n">
        <x:f>'Viewer'!M24</x:f>
        <x:v>0</x:v>
      </x:c>
      <x:c r="Q16" s="7" t="n">
        <x:f>'Viewer'!N24</x:f>
        <x:v>0</x:v>
      </x:c>
      <x:c r="R16" s="7" t="n">
        <x:f>'Viewer'!O24</x:f>
        <x:v>0</x:v>
      </x:c>
      <x:c r="S16" s="7" t="n">
        <x:f>'Viewer'!P24</x:f>
        <x:v>0</x:v>
      </x:c>
      <x:c r="T16" s="7" t="n">
        <x:f>'Viewer'!Q24</x:f>
        <x:v>0</x:v>
      </x:c>
      <x:c r="U16" s="7" t="n">
        <x:f>'Viewer'!R24</x:f>
        <x:v>0</x:v>
      </x:c>
      <x:c r="V16" s="7" t="str">
        <x:f>'Viewer'!S24</x:f>
      </x:c>
      <x:c r="W16" s="7" t="str">
        <x:v>R01,R06</x:v>
      </x:c>
      <x:c r="X16" s="7" t="n">
        <x:f>'Viewer'!$B$5</x:f>
        <x:v>0</x:v>
      </x:c>
      <x:c r="Y16" s="48" t="n">
        <x:f>'Viewer'!V24</x:f>
        <x:v>0</x:v>
      </x:c>
      <x:c r="Z16" s="7" t="n">
        <x:f>'Viewer'!U24</x:f>
        <x:v>0</x:v>
      </x:c>
    </x:row>
    <x:row r="17">
      <x:c r="A17" s="7" t="str">
        <x:v>UX-016</x:v>
      </x:c>
      <x:c r="B17" s="7" t="str">
        <x:v>Viewer</x:v>
      </x:c>
      <x:c r="C17" s="7" t="str">
        <x:v>Content</x:v>
      </x:c>
      <x:c r="D17" s="7" t="str">
        <x:v>Article Catalog</x:v>
      </x:c>
      <x:c r="E17" s="7" t="str">
        <x:v>Browse useful wedding guidance</x:v>
      </x:c>
      <x:c r="F17" s="7" t="str">
        <x:v>Published content should be scannable, clearly categorized and readable on mobile.</x:v>
      </x:c>
      <x:c r="G17" s="7" t="str">
        <x:v>Recognition; content discoverability</x:v>
      </x:c>
      <x:c r="H17" s="7" t="str">
        <x:v>Published articles auto-populate landing catalog.</x:v>
      </x:c>
      <x:c r="I17" s="7" t="str">
        <x:v>Meets</x:v>
      </x:c>
      <x:c r="J17" s="7" t="str">
        <x:v>Add search/category browsing once article volume grows.</x:v>
      </x:c>
      <x:c r="K17" s="7" t="str">
        <x:v>Task-based usability</x:v>
      </x:c>
      <x:c r="L17" s="7" t="str">
        <x:v>P1</x:v>
      </x:c>
      <x:c r="M17" s="7" t="str">
        <x:v>Complete without facilitator; SEQ ≥5/7</x:v>
      </x:c>
      <x:c r="N17" s="7" t="str">
        <x:f>'Viewer'!K25</x:f>
        <x:v>Not Tested</x:v>
      </x:c>
      <x:c r="O17" s="7" t="n">
        <x:f>'Viewer'!L25</x:f>
        <x:v>0</x:v>
      </x:c>
      <x:c r="P17" s="7" t="n">
        <x:f>'Viewer'!M25</x:f>
        <x:v>0</x:v>
      </x:c>
      <x:c r="Q17" s="7" t="n">
        <x:f>'Viewer'!N25</x:f>
        <x:v>0</x:v>
      </x:c>
      <x:c r="R17" s="7" t="n">
        <x:f>'Viewer'!O25</x:f>
        <x:v>0</x:v>
      </x:c>
      <x:c r="S17" s="7" t="n">
        <x:f>'Viewer'!P25</x:f>
        <x:v>0</x:v>
      </x:c>
      <x:c r="T17" s="7" t="n">
        <x:f>'Viewer'!Q25</x:f>
        <x:v>0</x:v>
      </x:c>
      <x:c r="U17" s="7" t="n">
        <x:f>'Viewer'!R25</x:f>
        <x:v>0</x:v>
      </x:c>
      <x:c r="V17" s="7" t="str">
        <x:f>'Viewer'!S25</x:f>
      </x:c>
      <x:c r="W17" s="7" t="str">
        <x:v>R01</x:v>
      </x:c>
      <x:c r="X17" s="7" t="n">
        <x:f>'Viewer'!$B$5</x:f>
        <x:v>0</x:v>
      </x:c>
      <x:c r="Y17" s="48" t="n">
        <x:f>'Viewer'!V25</x:f>
        <x:v>0</x:v>
      </x:c>
      <x:c r="Z17" s="7" t="n">
        <x:f>'Viewer'!U25</x:f>
        <x:v>0</x:v>
      </x:c>
    </x:row>
    <x:row r="18">
      <x:c r="A18" s="7" t="str">
        <x:v>UX-017</x:v>
      </x:c>
      <x:c r="B18" s="7" t="str">
        <x:v>Viewer</x:v>
      </x:c>
      <x:c r="C18" s="7" t="str">
        <x:v>Content</x:v>
      </x:c>
      <x:c r="D18" s="7" t="str">
        <x:v>Article Detail</x:v>
      </x:c>
      <x:c r="E18" s="7" t="str">
        <x:v>Read long-form article comfortably</x:v>
      </x:c>
      <x:c r="F18" s="7" t="str">
        <x:v>Reader should provide strong typography, wide hero, bounded readable text width and clear back navigation.</x:v>
      </x:c>
      <x:c r="G18" s="7" t="str">
        <x:v>Readability; accessibility</x:v>
      </x:c>
      <x:c r="H18" s="7" t="str">
        <x:v>Dedicated article reader exists; current version was widened in recent iterations.</x:v>
      </x:c>
      <x:c r="I18" s="7" t="str">
        <x:v>Needs User Test</x:v>
      </x:c>
      <x:c r="J18" s="7" t="str">
        <x:v>Test reading comfort on 375px and 1440px, heading hierarchy, link visibility and image alt text.</x:v>
      </x:c>
      <x:c r="K18" s="7" t="str">
        <x:v>Content usability + accessibility</x:v>
      </x:c>
      <x:c r="L18" s="7" t="str">
        <x:v>P1</x:v>
      </x:c>
      <x:c r="M18" s="7" t="str">
        <x:v>Complete without facilitator; SEQ ≥5/7</x:v>
      </x:c>
      <x:c r="N18" s="7" t="str">
        <x:f>'Viewer'!K26</x:f>
        <x:v>Not Tested</x:v>
      </x:c>
      <x:c r="O18" s="7" t="n">
        <x:f>'Viewer'!L26</x:f>
        <x:v>0</x:v>
      </x:c>
      <x:c r="P18" s="7" t="n">
        <x:f>'Viewer'!M26</x:f>
        <x:v>0</x:v>
      </x:c>
      <x:c r="Q18" s="7" t="n">
        <x:f>'Viewer'!N26</x:f>
        <x:v>0</x:v>
      </x:c>
      <x:c r="R18" s="7" t="n">
        <x:f>'Viewer'!O26</x:f>
        <x:v>0</x:v>
      </x:c>
      <x:c r="S18" s="7" t="n">
        <x:f>'Viewer'!P26</x:f>
        <x:v>0</x:v>
      </x:c>
      <x:c r="T18" s="7" t="n">
        <x:f>'Viewer'!Q26</x:f>
        <x:v>0</x:v>
      </x:c>
      <x:c r="U18" s="7" t="n">
        <x:f>'Viewer'!R26</x:f>
        <x:v>0</x:v>
      </x:c>
      <x:c r="V18" s="7" t="str">
        <x:f>'Viewer'!S26</x:f>
      </x:c>
      <x:c r="W18" s="7" t="str">
        <x:v>R03</x:v>
      </x:c>
      <x:c r="X18" s="7" t="n">
        <x:f>'Viewer'!$B$5</x:f>
        <x:v>0</x:v>
      </x:c>
      <x:c r="Y18" s="48" t="n">
        <x:f>'Viewer'!V26</x:f>
        <x:v>0</x:v>
      </x:c>
      <x:c r="Z18" s="7" t="n">
        <x:f>'Viewer'!U26</x:f>
        <x:v>0</x:v>
      </x:c>
    </x:row>
    <x:row r="19">
      <x:c r="A19" s="7" t="str">
        <x:v>UX-018</x:v>
      </x:c>
      <x:c r="B19" s="7" t="str">
        <x:v>Viewer</x:v>
      </x:c>
      <x:c r="C19" s="7" t="str">
        <x:v>Support</x:v>
      </x:c>
      <x:c r="D19" s="7" t="str">
        <x:v>Live Chat</x:v>
      </x:c>
      <x:c r="E19" s="7" t="str">
        <x:v>Open chat from landing</x:v>
      </x:c>
      <x:c r="F19" s="7" t="str">
        <x:v>Help entry point should be easy to find and consistently available.</x:v>
      </x:c>
      <x:c r="G19" s="7" t="str">
        <x:v>Consistent help</x:v>
      </x:c>
      <x:c r="H19" s="7" t="str">
        <x:v>Fixed Live Chat widget is present.</x:v>
      </x:c>
      <x:c r="I19" s="7" t="str">
        <x:v>Meets</x:v>
      </x:c>
      <x:c r="J19" s="7" t="str">
        <x:v>Ensure it does not obscure mobile content and has accessible label/focus.</x:v>
      </x:c>
      <x:c r="K19" s="7" t="str">
        <x:v>Task-based usability</x:v>
      </x:c>
      <x:c r="L19" s="7" t="str">
        <x:v>P1</x:v>
      </x:c>
      <x:c r="M19" s="7" t="str">
        <x:v>Complete without facilitator; SEQ ≥5/7</x:v>
      </x:c>
      <x:c r="N19" s="7" t="str">
        <x:f>'Viewer'!K27</x:f>
        <x:v>Not Tested</x:v>
      </x:c>
      <x:c r="O19" s="7" t="n">
        <x:f>'Viewer'!L27</x:f>
        <x:v>0</x:v>
      </x:c>
      <x:c r="P19" s="7" t="n">
        <x:f>'Viewer'!M27</x:f>
        <x:v>0</x:v>
      </x:c>
      <x:c r="Q19" s="7" t="n">
        <x:f>'Viewer'!N27</x:f>
        <x:v>0</x:v>
      </x:c>
      <x:c r="R19" s="7" t="n">
        <x:f>'Viewer'!O27</x:f>
        <x:v>0</x:v>
      </x:c>
      <x:c r="S19" s="7" t="n">
        <x:f>'Viewer'!P27</x:f>
        <x:v>0</x:v>
      </x:c>
      <x:c r="T19" s="7" t="n">
        <x:f>'Viewer'!Q27</x:f>
        <x:v>0</x:v>
      </x:c>
      <x:c r="U19" s="7" t="n">
        <x:f>'Viewer'!R27</x:f>
        <x:v>0</x:v>
      </x:c>
      <x:c r="V19" s="7" t="str">
        <x:f>'Viewer'!S27</x:f>
      </x:c>
      <x:c r="W19" s="7" t="str">
        <x:v>R03,R01</x:v>
      </x:c>
      <x:c r="X19" s="7" t="n">
        <x:f>'Viewer'!$B$5</x:f>
        <x:v>0</x:v>
      </x:c>
      <x:c r="Y19" s="48" t="n">
        <x:f>'Viewer'!V27</x:f>
        <x:v>0</x:v>
      </x:c>
      <x:c r="Z19" s="7" t="n">
        <x:f>'Viewer'!U27</x:f>
        <x:v>0</x:v>
      </x:c>
    </x:row>
    <x:row r="20">
      <x:c r="A20" s="7" t="str">
        <x:v>UX-019</x:v>
      </x:c>
      <x:c r="B20" s="7" t="str">
        <x:v>Viewer</x:v>
      </x:c>
      <x:c r="C20" s="7" t="str">
        <x:v>Support</x:v>
      </x:c>
      <x:c r="D20" s="7" t="str">
        <x:v>Live Chat</x:v>
      </x:c>
      <x:c r="E20" s="7" t="str">
        <x:v>Send a message and see it remain visible</x:v>
      </x:c>
      <x:c r="F20" s="7" t="str">
        <x:v>Sent message should appear immediately, persist after refresh and clearly show delivery/error state.</x:v>
      </x:c>
      <x:c r="G20" s="7" t="str">
        <x:v>Visibility; error recovery</x:v>
      </x:c>
      <x:c r="H20" s="7" t="str">
        <x:v>v0.12+ flow persists messages and uses public conversation token.</x:v>
      </x:c>
      <x:c r="I20" s="7" t="str">
        <x:v>Partial</x:v>
      </x:c>
      <x:c r="J20" s="7" t="str">
        <x:v>Add explicit sending/failed/retry state and unread reply indicator.</x:v>
      </x:c>
      <x:c r="K20" s="7" t="str">
        <x:v>Task-based usability</x:v>
      </x:c>
      <x:c r="L20" s="7" t="str">
        <x:v>P0</x:v>
      </x:c>
      <x:c r="M20" s="7" t="str">
        <x:v>Complete without facilitator; SEQ ≥5/7</x:v>
      </x:c>
      <x:c r="N20" s="7" t="str">
        <x:f>'Viewer'!K28</x:f>
        <x:v>Not Tested</x:v>
      </x:c>
      <x:c r="O20" s="7" t="n">
        <x:f>'Viewer'!L28</x:f>
        <x:v>0</x:v>
      </x:c>
      <x:c r="P20" s="7" t="n">
        <x:f>'Viewer'!M28</x:f>
        <x:v>0</x:v>
      </x:c>
      <x:c r="Q20" s="7" t="n">
        <x:f>'Viewer'!N28</x:f>
        <x:v>0</x:v>
      </x:c>
      <x:c r="R20" s="7" t="n">
        <x:f>'Viewer'!O28</x:f>
        <x:v>0</x:v>
      </x:c>
      <x:c r="S20" s="7" t="n">
        <x:f>'Viewer'!P28</x:f>
        <x:v>0</x:v>
      </x:c>
      <x:c r="T20" s="7" t="n">
        <x:f>'Viewer'!Q28</x:f>
        <x:v>0</x:v>
      </x:c>
      <x:c r="U20" s="7" t="n">
        <x:f>'Viewer'!R28</x:f>
        <x:v>0</x:v>
      </x:c>
      <x:c r="V20" s="7" t="str">
        <x:f>'Viewer'!S28</x:f>
      </x:c>
      <x:c r="W20" s="7" t="str">
        <x:v>R01</x:v>
      </x:c>
      <x:c r="X20" s="7" t="n">
        <x:f>'Viewer'!$B$5</x:f>
        <x:v>0</x:v>
      </x:c>
      <x:c r="Y20" s="48" t="n">
        <x:f>'Viewer'!V28</x:f>
        <x:v>0</x:v>
      </x:c>
      <x:c r="Z20" s="7" t="n">
        <x:f>'Viewer'!U28</x:f>
        <x:v>0</x:v>
      </x:c>
    </x:row>
    <x:row r="21">
      <x:c r="A21" s="7" t="str">
        <x:v>UX-020</x:v>
      </x:c>
      <x:c r="B21" s="7" t="str">
        <x:v>Viewer</x:v>
      </x:c>
      <x:c r="C21" s="7" t="str">
        <x:v>Invitation</x:v>
      </x:c>
      <x:c r="D21" s="7" t="str">
        <x:v>Public URL</x:v>
      </x:c>
      <x:c r="E21" s="7" t="str">
        <x:v>Open a published invitation without login</x:v>
      </x:c>
      <x:c r="F21" s="7" t="str">
        <x:v>Invitation guest should land directly on the correct wedding site using a stable public URL.</x:v>
      </x:c>
      <x:c r="G21" s="7" t="str">
        <x:v>Direct task completion</x:v>
      </x:c>
      <x:c r="H21" s="7" t="str">
        <x:v>Public route /:slug renders published WeddingCanvas.</x:v>
      </x:c>
      <x:c r="I21" s="7" t="str">
        <x:v>Meets</x:v>
      </x:c>
      <x:c r="J21" s="7" t="str">
        <x:v>Test invalid/unpublished slug error page and social-share metadata.</x:v>
      </x:c>
      <x:c r="K21" s="7" t="str">
        <x:v>Task-based usability</x:v>
      </x:c>
      <x:c r="L21" s="7" t="str">
        <x:v>P0</x:v>
      </x:c>
      <x:c r="M21" s="7" t="str">
        <x:v>Complete without facilitator; SEQ ≥5/7</x:v>
      </x:c>
      <x:c r="N21" s="7" t="str">
        <x:f>'Viewer'!K29</x:f>
        <x:v>Not Tested</x:v>
      </x:c>
      <x:c r="O21" s="7" t="n">
        <x:f>'Viewer'!L29</x:f>
        <x:v>0</x:v>
      </x:c>
      <x:c r="P21" s="7" t="n">
        <x:f>'Viewer'!M29</x:f>
        <x:v>0</x:v>
      </x:c>
      <x:c r="Q21" s="7" t="n">
        <x:f>'Viewer'!N29</x:f>
        <x:v>0</x:v>
      </x:c>
      <x:c r="R21" s="7" t="n">
        <x:f>'Viewer'!O29</x:f>
        <x:v>0</x:v>
      </x:c>
      <x:c r="S21" s="7" t="n">
        <x:f>'Viewer'!P29</x:f>
        <x:v>0</x:v>
      </x:c>
      <x:c r="T21" s="7" t="n">
        <x:f>'Viewer'!Q29</x:f>
        <x:v>0</x:v>
      </x:c>
      <x:c r="U21" s="7" t="n">
        <x:f>'Viewer'!R29</x:f>
        <x:v>0</x:v>
      </x:c>
      <x:c r="V21" s="7" t="str">
        <x:f>'Viewer'!S29</x:f>
      </x:c>
      <x:c r="W21" s="7" t="str">
        <x:v>R02</x:v>
      </x:c>
      <x:c r="X21" s="7" t="n">
        <x:f>'Viewer'!$B$5</x:f>
        <x:v>0</x:v>
      </x:c>
      <x:c r="Y21" s="48" t="n">
        <x:f>'Viewer'!V29</x:f>
        <x:v>0</x:v>
      </x:c>
      <x:c r="Z21" s="7" t="n">
        <x:f>'Viewer'!U29</x:f>
        <x:v>0</x:v>
      </x:c>
    </x:row>
    <x:row r="22">
      <x:c r="A22" s="7" t="str">
        <x:v>UX-021</x:v>
      </x:c>
      <x:c r="B22" s="7" t="str">
        <x:v>Viewer</x:v>
      </x:c>
      <x:c r="C22" s="7" t="str">
        <x:v>Invitation</x:v>
      </x:c>
      <x:c r="D22" s="7" t="str">
        <x:v>Buka Undangan</x:v>
      </x:c>
      <x:c r="E22" s="7" t="str">
        <x:v>Understand and open the invitation</x:v>
      </x:c>
      <x:c r="F22" s="7" t="str">
        <x:v>Opening gate must be obvious, editable by Customer/Designer, and not block keyboard users.</x:v>
      </x:c>
      <x:c r="G22" s="7" t="str">
        <x:v>Accessibility; clear affordance</x:v>
      </x:c>
      <x:c r="H22" s="7" t="str">
        <x:v>Opening cover supports editable labels and button; public site renders it.</x:v>
      </x:c>
      <x:c r="I22" s="7" t="str">
        <x:v>Needs User Test</x:v>
      </x:c>
      <x:c r="J22" s="7" t="str">
        <x:v>Test keyboard activation, focus order, screen-reader label and motion preference.</x:v>
      </x:c>
      <x:c r="K22" s="7" t="str">
        <x:v>Task-based usability</x:v>
      </x:c>
      <x:c r="L22" s="7" t="str">
        <x:v>P0</x:v>
      </x:c>
      <x:c r="M22" s="7" t="str">
        <x:v>Complete without facilitator; SEQ ≥5/7</x:v>
      </x:c>
      <x:c r="N22" s="7" t="str">
        <x:f>'Viewer'!K30</x:f>
        <x:v>Not Tested</x:v>
      </x:c>
      <x:c r="O22" s="7" t="n">
        <x:f>'Viewer'!L30</x:f>
        <x:v>0</x:v>
      </x:c>
      <x:c r="P22" s="7" t="n">
        <x:f>'Viewer'!M30</x:f>
        <x:v>0</x:v>
      </x:c>
      <x:c r="Q22" s="7" t="n">
        <x:f>'Viewer'!N30</x:f>
        <x:v>0</x:v>
      </x:c>
      <x:c r="R22" s="7" t="n">
        <x:f>'Viewer'!O30</x:f>
        <x:v>0</x:v>
      </x:c>
      <x:c r="S22" s="7" t="n">
        <x:f>'Viewer'!P30</x:f>
        <x:v>0</x:v>
      </x:c>
      <x:c r="T22" s="7" t="n">
        <x:f>'Viewer'!Q30</x:f>
        <x:v>0</x:v>
      </x:c>
      <x:c r="U22" s="7" t="n">
        <x:f>'Viewer'!R30</x:f>
        <x:v>0</x:v>
      </x:c>
      <x:c r="V22" s="7" t="str">
        <x:f>'Viewer'!S30</x:f>
      </x:c>
      <x:c r="W22" s="7" t="str">
        <x:v>R03</x:v>
      </x:c>
      <x:c r="X22" s="7" t="n">
        <x:f>'Viewer'!$B$5</x:f>
        <x:v>0</x:v>
      </x:c>
      <x:c r="Y22" s="48" t="n">
        <x:f>'Viewer'!V30</x:f>
        <x:v>0</x:v>
      </x:c>
      <x:c r="Z22" s="7" t="n">
        <x:f>'Viewer'!U30</x:f>
        <x:v>0</x:v>
      </x:c>
    </x:row>
    <x:row r="23">
      <x:c r="A23" s="7" t="str">
        <x:v>UX-022</x:v>
      </x:c>
      <x:c r="B23" s="7" t="str">
        <x:v>Viewer</x:v>
      </x:c>
      <x:c r="C23" s="7" t="str">
        <x:v>Invitation</x:v>
      </x:c>
      <x:c r="D23" s="7" t="str">
        <x:v>Sound</x:v>
      </x:c>
      <x:c r="E23" s="7" t="str">
        <x:v>Control background sound</x:v>
      </x:c>
      <x:c r="F23" s="7" t="str">
        <x:v>Audio must not trap or surprise users; users need a clear play/pause control.</x:v>
      </x:c>
      <x:c r="G23" s="7" t="str">
        <x:v>User control</x:v>
      </x:c>
      <x:c r="H23" s="7" t="str">
        <x:v>Fixed disc player exists when Sound feature is active.</x:v>
      </x:c>
      <x:c r="I23" s="7" t="str">
        <x:v>Partial</x:v>
      </x:c>
      <x:c r="J23" s="7" t="str">
        <x:v>Validate no unwanted autoplay, persistent pause state and WCAG audio control expectations.</x:v>
      </x:c>
      <x:c r="K23" s="7" t="str">
        <x:v>Accessibility + task</x:v>
      </x:c>
      <x:c r="L23" s="7" t="str">
        <x:v>P0</x:v>
      </x:c>
      <x:c r="M23" s="7" t="str">
        <x:v>Complete without facilitator; SEQ ≥5/7</x:v>
      </x:c>
      <x:c r="N23" s="7" t="str">
        <x:f>'Viewer'!K31</x:f>
        <x:v>Not Tested</x:v>
      </x:c>
      <x:c r="O23" s="7" t="n">
        <x:f>'Viewer'!L31</x:f>
        <x:v>0</x:v>
      </x:c>
      <x:c r="P23" s="7" t="n">
        <x:f>'Viewer'!M31</x:f>
        <x:v>0</x:v>
      </x:c>
      <x:c r="Q23" s="7" t="n">
        <x:f>'Viewer'!N31</x:f>
        <x:v>0</x:v>
      </x:c>
      <x:c r="R23" s="7" t="n">
        <x:f>'Viewer'!O31</x:f>
        <x:v>0</x:v>
      </x:c>
      <x:c r="S23" s="7" t="n">
        <x:f>'Viewer'!P31</x:f>
        <x:v>0</x:v>
      </x:c>
      <x:c r="T23" s="7" t="n">
        <x:f>'Viewer'!Q31</x:f>
        <x:v>0</x:v>
      </x:c>
      <x:c r="U23" s="7" t="n">
        <x:f>'Viewer'!R31</x:f>
        <x:v>0</x:v>
      </x:c>
      <x:c r="V23" s="7" t="str">
        <x:f>'Viewer'!S31</x:f>
      </x:c>
      <x:c r="W23" s="7" t="str">
        <x:v>R01,R03</x:v>
      </x:c>
      <x:c r="X23" s="7" t="n">
        <x:f>'Viewer'!$B$5</x:f>
        <x:v>0</x:v>
      </x:c>
      <x:c r="Y23" s="48" t="n">
        <x:f>'Viewer'!V31</x:f>
        <x:v>0</x:v>
      </x:c>
      <x:c r="Z23" s="7" t="n">
        <x:f>'Viewer'!U31</x:f>
        <x:v>0</x:v>
      </x:c>
    </x:row>
    <x:row r="24">
      <x:c r="A24" s="7" t="str">
        <x:v>UX-023</x:v>
      </x:c>
      <x:c r="B24" s="7" t="str">
        <x:v>Viewer</x:v>
      </x:c>
      <x:c r="C24" s="7" t="str">
        <x:v>Invitation</x:v>
      </x:c>
      <x:c r="D24" s="7" t="str">
        <x:v>Gallery</x:v>
      </x:c>
      <x:c r="E24" s="7" t="str">
        <x:v>Browse wedding photos comfortably</x:v>
      </x:c>
      <x:c r="F24" s="7" t="str">
        <x:v>Carousel transitions should be smooth but user-controllable; full-width mode must not crop key content.</x:v>
      </x:c>
      <x:c r="G24" s="7" t="str">
        <x:v>User control; accessibility</x:v>
      </x:c>
      <x:c r="H24" s="7" t="str">
        <x:v>Carousel/full-width controls exist.</x:v>
      </x:c>
      <x:c r="I24" s="7" t="str">
        <x:v>Needs User Test</x:v>
      </x:c>
      <x:c r="J24" s="7" t="str">
        <x:v>Test swipe, keyboard, previous/next affordance, reduced motion and image loading.</x:v>
      </x:c>
      <x:c r="K24" s="7" t="str">
        <x:v>Task-based usability</x:v>
      </x:c>
      <x:c r="L24" s="7" t="str">
        <x:v>P1</x:v>
      </x:c>
      <x:c r="M24" s="7" t="str">
        <x:v>Complete without facilitator; SEQ ≥5/7</x:v>
      </x:c>
      <x:c r="N24" s="7" t="str">
        <x:f>'Viewer'!K32</x:f>
        <x:v>Not Tested</x:v>
      </x:c>
      <x:c r="O24" s="7" t="n">
        <x:f>'Viewer'!L32</x:f>
        <x:v>0</x:v>
      </x:c>
      <x:c r="P24" s="7" t="n">
        <x:f>'Viewer'!M32</x:f>
        <x:v>0</x:v>
      </x:c>
      <x:c r="Q24" s="7" t="n">
        <x:f>'Viewer'!N32</x:f>
        <x:v>0</x:v>
      </x:c>
      <x:c r="R24" s="7" t="n">
        <x:f>'Viewer'!O32</x:f>
        <x:v>0</x:v>
      </x:c>
      <x:c r="S24" s="7" t="n">
        <x:f>'Viewer'!P32</x:f>
        <x:v>0</x:v>
      </x:c>
      <x:c r="T24" s="7" t="n">
        <x:f>'Viewer'!Q32</x:f>
        <x:v>0</x:v>
      </x:c>
      <x:c r="U24" s="7" t="n">
        <x:f>'Viewer'!R32</x:f>
        <x:v>0</x:v>
      </x:c>
      <x:c r="V24" s="7" t="str">
        <x:f>'Viewer'!S32</x:f>
      </x:c>
      <x:c r="W24" s="7" t="str">
        <x:v>R03</x:v>
      </x:c>
      <x:c r="X24" s="7" t="n">
        <x:f>'Viewer'!$B$5</x:f>
        <x:v>0</x:v>
      </x:c>
      <x:c r="Y24" s="48" t="n">
        <x:f>'Viewer'!V32</x:f>
        <x:v>0</x:v>
      </x:c>
      <x:c r="Z24" s="7" t="n">
        <x:f>'Viewer'!U32</x:f>
        <x:v>0</x:v>
      </x:c>
    </x:row>
    <x:row r="25">
      <x:c r="A25" s="7" t="str">
        <x:v>UX-024</x:v>
      </x:c>
      <x:c r="B25" s="7" t="str">
        <x:v>Viewer</x:v>
      </x:c>
      <x:c r="C25" s="7" t="str">
        <x:v>Invitation</x:v>
      </x:c>
      <x:c r="D25" s="7" t="str">
        <x:v>Location</x:v>
      </x:c>
      <x:c r="E25" s="7" t="str">
        <x:v>Open venue map</x:v>
      </x:c>
      <x:c r="F25" s="7" t="str">
        <x:v>Map link/QR should be clearly labeled and open the expected venue.</x:v>
      </x:c>
      <x:c r="G25" s="7" t="str">
        <x:v>Match real world</x:v>
      </x:c>
      <x:c r="H25" s="7" t="str">
        <x:v>Location feature supports map link and QR.</x:v>
      </x:c>
      <x:c r="I25" s="7" t="str">
        <x:v>Needs User Test</x:v>
      </x:c>
      <x:c r="J25" s="7" t="str">
        <x:v>Test mobile deep-link behavior and physical QR scan.</x:v>
      </x:c>
      <x:c r="K25" s="7" t="str">
        <x:v>Device task</x:v>
      </x:c>
      <x:c r="L25" s="7" t="str">
        <x:v>P1</x:v>
      </x:c>
      <x:c r="M25" s="7" t="str">
        <x:v>Complete without facilitator; SEQ ≥5/7</x:v>
      </x:c>
      <x:c r="N25" s="7" t="str">
        <x:f>'Viewer'!K33</x:f>
        <x:v>Not Tested</x:v>
      </x:c>
      <x:c r="O25" s="7" t="n">
        <x:f>'Viewer'!L33</x:f>
        <x:v>0</x:v>
      </x:c>
      <x:c r="P25" s="7" t="n">
        <x:f>'Viewer'!M33</x:f>
        <x:v>0</x:v>
      </x:c>
      <x:c r="Q25" s="7" t="n">
        <x:f>'Viewer'!N33</x:f>
        <x:v>0</x:v>
      </x:c>
      <x:c r="R25" s="7" t="n">
        <x:f>'Viewer'!O33</x:f>
        <x:v>0</x:v>
      </x:c>
      <x:c r="S25" s="7" t="n">
        <x:f>'Viewer'!P33</x:f>
        <x:v>0</x:v>
      </x:c>
      <x:c r="T25" s="7" t="n">
        <x:f>'Viewer'!Q33</x:f>
        <x:v>0</x:v>
      </x:c>
      <x:c r="U25" s="7" t="n">
        <x:f>'Viewer'!R33</x:f>
        <x:v>0</x:v>
      </x:c>
      <x:c r="V25" s="7" t="str">
        <x:f>'Viewer'!S33</x:f>
      </x:c>
      <x:c r="W25" s="7" t="str">
        <x:v>R02</x:v>
      </x:c>
      <x:c r="X25" s="7" t="n">
        <x:f>'Viewer'!$B$5</x:f>
        <x:v>0</x:v>
      </x:c>
      <x:c r="Y25" s="48" t="n">
        <x:f>'Viewer'!V33</x:f>
        <x:v>0</x:v>
      </x:c>
      <x:c r="Z25" s="7" t="n">
        <x:f>'Viewer'!U33</x:f>
        <x:v>0</x:v>
      </x:c>
    </x:row>
    <x:row r="26">
      <x:c r="A26" s="7" t="str">
        <x:v>UX-025</x:v>
      </x:c>
      <x:c r="B26" s="7" t="str">
        <x:v>Viewer</x:v>
      </x:c>
      <x:c r="C26" s="7" t="str">
        <x:v>Invitation</x:v>
      </x:c>
      <x:c r="D26" s="7" t="str">
        <x:v>RSVP</x:v>
      </x:c>
      <x:c r="E26" s="7" t="str">
        <x:v>Submit attendance response</x:v>
      </x:c>
      <x:c r="F26" s="7" t="str">
        <x:v>RSVP should require minimal information, make status/pax clear and provide confirmation.</x:v>
      </x:c>
      <x:c r="G26" s="7" t="str">
        <x:v>Error prevention; visibility</x:v>
      </x:c>
      <x:c r="H26" s="7" t="str">
        <x:v>Public RSVP API and feature are present.</x:v>
      </x:c>
      <x:c r="I26" s="7" t="str">
        <x:v>Needs User Test</x:v>
      </x:c>
      <x:c r="J26" s="7" t="str">
        <x:v>Test duplicate submission, change-of-mind flow, validation and post-submit confirmation.</x:v>
      </x:c>
      <x:c r="K26" s="7" t="str">
        <x:v>Task-based usability</x:v>
      </x:c>
      <x:c r="L26" s="7" t="str">
        <x:v>P0</x:v>
      </x:c>
      <x:c r="M26" s="7" t="str">
        <x:v>Complete without facilitator; SEQ ≥5/7</x:v>
      </x:c>
      <x:c r="N26" s="7" t="str">
        <x:f>'Viewer'!K34</x:f>
        <x:v>Not Tested</x:v>
      </x:c>
      <x:c r="O26" s="7" t="n">
        <x:f>'Viewer'!L34</x:f>
        <x:v>0</x:v>
      </x:c>
      <x:c r="P26" s="7" t="n">
        <x:f>'Viewer'!M34</x:f>
        <x:v>0</x:v>
      </x:c>
      <x:c r="Q26" s="7" t="n">
        <x:f>'Viewer'!N34</x:f>
        <x:v>0</x:v>
      </x:c>
      <x:c r="R26" s="7" t="n">
        <x:f>'Viewer'!O34</x:f>
        <x:v>0</x:v>
      </x:c>
      <x:c r="S26" s="7" t="n">
        <x:f>'Viewer'!P34</x:f>
        <x:v>0</x:v>
      </x:c>
      <x:c r="T26" s="7" t="n">
        <x:f>'Viewer'!Q34</x:f>
        <x:v>0</x:v>
      </x:c>
      <x:c r="U26" s="7" t="n">
        <x:f>'Viewer'!R34</x:f>
        <x:v>0</x:v>
      </x:c>
      <x:c r="V26" s="7" t="str">
        <x:f>'Viewer'!S34</x:f>
      </x:c>
      <x:c r="W26" s="7" t="str">
        <x:v>R01</x:v>
      </x:c>
      <x:c r="X26" s="7" t="n">
        <x:f>'Viewer'!$B$5</x:f>
        <x:v>0</x:v>
      </x:c>
      <x:c r="Y26" s="48" t="n">
        <x:f>'Viewer'!V34</x:f>
        <x:v>0</x:v>
      </x:c>
      <x:c r="Z26" s="7" t="n">
        <x:f>'Viewer'!U34</x:f>
        <x:v>0</x:v>
      </x:c>
    </x:row>
    <x:row r="27">
      <x:c r="A27" s="7" t="str">
        <x:v>UX-026</x:v>
      </x:c>
      <x:c r="B27" s="7" t="str">
        <x:v>Viewer</x:v>
      </x:c>
      <x:c r="C27" s="7" t="str">
        <x:v>Invitation</x:v>
      </x:c>
      <x:c r="D27" s="7" t="str">
        <x:v>Greetings</x:v>
      </x:c>
      <x:c r="E27" s="7" t="str">
        <x:v>Send a greeting/message</x:v>
      </x:c>
      <x:c r="F27" s="7" t="str">
        <x:v>User should know message was submitted successfully and whether it will be public.</x:v>
      </x:c>
      <x:c r="G27" s="7" t="str">
        <x:v>Visibility; privacy clarity</x:v>
      </x:c>
      <x:c r="H27" s="7" t="str">
        <x:v>Greeting submission exists.</x:v>
      </x:c>
      <x:c r="I27" s="7" t="str">
        <x:v>Partial</x:v>
      </x:c>
      <x:c r="J27" s="7" t="str">
        <x:v>Add explicit privacy/moderation copy and success/duplicate/error states.</x:v>
      </x:c>
      <x:c r="K27" s="7" t="str">
        <x:v>Task-based usability</x:v>
      </x:c>
      <x:c r="L27" s="7" t="str">
        <x:v>P1</x:v>
      </x:c>
      <x:c r="M27" s="7" t="str">
        <x:v>Complete without facilitator; SEQ ≥5/7</x:v>
      </x:c>
      <x:c r="N27" s="7" t="str">
        <x:f>'Viewer'!K35</x:f>
        <x:v>Not Tested</x:v>
      </x:c>
      <x:c r="O27" s="7" t="n">
        <x:f>'Viewer'!L35</x:f>
        <x:v>0</x:v>
      </x:c>
      <x:c r="P27" s="7" t="n">
        <x:f>'Viewer'!M35</x:f>
        <x:v>0</x:v>
      </x:c>
      <x:c r="Q27" s="7" t="n">
        <x:f>'Viewer'!N35</x:f>
        <x:v>0</x:v>
      </x:c>
      <x:c r="R27" s="7" t="n">
        <x:f>'Viewer'!O35</x:f>
        <x:v>0</x:v>
      </x:c>
      <x:c r="S27" s="7" t="n">
        <x:f>'Viewer'!P35</x:f>
        <x:v>0</x:v>
      </x:c>
      <x:c r="T27" s="7" t="n">
        <x:f>'Viewer'!Q35</x:f>
        <x:v>0</x:v>
      </x:c>
      <x:c r="U27" s="7" t="n">
        <x:f>'Viewer'!R35</x:f>
        <x:v>0</x:v>
      </x:c>
      <x:c r="V27" s="7" t="str">
        <x:f>'Viewer'!S35</x:f>
      </x:c>
      <x:c r="W27" s="7" t="str">
        <x:v>R01</x:v>
      </x:c>
      <x:c r="X27" s="7" t="n">
        <x:f>'Viewer'!$B$5</x:f>
        <x:v>0</x:v>
      </x:c>
      <x:c r="Y27" s="48" t="n">
        <x:f>'Viewer'!V35</x:f>
        <x:v>0</x:v>
      </x:c>
      <x:c r="Z27" s="7" t="n">
        <x:f>'Viewer'!U35</x:f>
        <x:v>0</x:v>
      </x:c>
    </x:row>
    <x:row r="28">
      <x:c r="A28" s="7" t="str">
        <x:v>UX-027</x:v>
      </x:c>
      <x:c r="B28" s="7" t="str">
        <x:v>Viewer</x:v>
      </x:c>
      <x:c r="C28" s="7" t="str">
        <x:v>Accessibility</x:v>
      </x:c>
      <x:c r="D28" s="7" t="str">
        <x:v>Keyboard</x:v>
      </x:c>
      <x:c r="E28" s="7" t="str">
        <x:v>Complete key Viewer journeys with keyboard only</x:v>
      </x:c>
      <x:c r="F28" s="7" t="str">
        <x:v>All interactive functionality should be keyboard reachable with visible focus.</x:v>
      </x:c>
      <x:c r="G28" s="7" t="str">
        <x:v>Keyboard accessibility</x:v>
      </x:c>
      <x:c r="H28" s="7" t="str">
        <x:v>Source contains many buttons/links but no comprehensive keyboard audit evidence.</x:v>
      </x:c>
      <x:c r="I28" s="7" t="str">
        <x:v>Needs User Test</x:v>
      </x:c>
      <x:c r="J28" s="7" t="str">
        <x:v>Run keyboard-only landing → template → checkout and public invitation → RSVP.</x:v>
      </x:c>
      <x:c r="K28" s="7" t="str">
        <x:v>WCAG manual</x:v>
      </x:c>
      <x:c r="L28" s="7" t="str">
        <x:v>P0</x:v>
      </x:c>
      <x:c r="M28" s="7" t="str">
        <x:v>Complete without facilitator; SEQ ≥5/7</x:v>
      </x:c>
      <x:c r="N28" s="7" t="str">
        <x:f>'Viewer'!K36</x:f>
        <x:v>Not Tested</x:v>
      </x:c>
      <x:c r="O28" s="7" t="n">
        <x:f>'Viewer'!L36</x:f>
        <x:v>0</x:v>
      </x:c>
      <x:c r="P28" s="7" t="n">
        <x:f>'Viewer'!M36</x:f>
        <x:v>0</x:v>
      </x:c>
      <x:c r="Q28" s="7" t="n">
        <x:f>'Viewer'!N36</x:f>
        <x:v>0</x:v>
      </x:c>
      <x:c r="R28" s="7" t="n">
        <x:f>'Viewer'!O36</x:f>
        <x:v>0</x:v>
      </x:c>
      <x:c r="S28" s="7" t="n">
        <x:f>'Viewer'!P36</x:f>
        <x:v>0</x:v>
      </x:c>
      <x:c r="T28" s="7" t="n">
        <x:f>'Viewer'!Q36</x:f>
        <x:v>0</x:v>
      </x:c>
      <x:c r="U28" s="7" t="n">
        <x:f>'Viewer'!R36</x:f>
        <x:v>0</x:v>
      </x:c>
      <x:c r="V28" s="7" t="str">
        <x:f>'Viewer'!S36</x:f>
      </x:c>
      <x:c r="W28" s="7" t="str">
        <x:v>R03</x:v>
      </x:c>
      <x:c r="X28" s="7" t="n">
        <x:f>'Viewer'!$B$5</x:f>
        <x:v>0</x:v>
      </x:c>
      <x:c r="Y28" s="48" t="n">
        <x:f>'Viewer'!V36</x:f>
        <x:v>0</x:v>
      </x:c>
      <x:c r="Z28" s="7" t="n">
        <x:f>'Viewer'!U36</x:f>
        <x:v>0</x:v>
      </x:c>
    </x:row>
    <x:row r="29">
      <x:c r="A29" s="7" t="str">
        <x:v>UX-028</x:v>
      </x:c>
      <x:c r="B29" s="7" t="str">
        <x:v>Viewer</x:v>
      </x:c>
      <x:c r="C29" s="7" t="str">
        <x:v>Accessibility</x:v>
      </x:c>
      <x:c r="D29" s="7" t="str">
        <x:v>Targets</x:v>
      </x:c>
      <x:c r="E29" s="7" t="str">
        <x:v>Activate mobile controls without mis-taps</x:v>
      </x:c>
      <x:c r="F29" s="7" t="str">
        <x:v>Touch targets should meet WCAG 2.2 target size/spacing expectations.</x:v>
      </x:c>
      <x:c r="G29" s="7" t="str">
        <x:v>Target size</x:v>
      </x:c>
      <x:c r="H29" s="7" t="str">
        <x:v>Icon and compact controls exist throughout Viewer flows.</x:v>
      </x:c>
      <x:c r="I29" s="7" t="str">
        <x:v>Needs User Test</x:v>
      </x:c>
      <x:c r="J29" s="7" t="str">
        <x:v>Measure key controls and increase compact target hit areas where needed.</x:v>
      </x:c>
      <x:c r="K29" s="7" t="str">
        <x:v>WCAG manual</x:v>
      </x:c>
      <x:c r="L29" s="7" t="str">
        <x:v>P1</x:v>
      </x:c>
      <x:c r="M29" s="7" t="str">
        <x:v>Complete without facilitator; SEQ ≥5/7</x:v>
      </x:c>
      <x:c r="N29" s="7" t="str">
        <x:f>'Viewer'!K37</x:f>
        <x:v>Not Tested</x:v>
      </x:c>
      <x:c r="O29" s="7" t="n">
        <x:f>'Viewer'!L37</x:f>
        <x:v>0</x:v>
      </x:c>
      <x:c r="P29" s="7" t="n">
        <x:f>'Viewer'!M37</x:f>
        <x:v>0</x:v>
      </x:c>
      <x:c r="Q29" s="7" t="n">
        <x:f>'Viewer'!N37</x:f>
        <x:v>0</x:v>
      </x:c>
      <x:c r="R29" s="7" t="n">
        <x:f>'Viewer'!O37</x:f>
        <x:v>0</x:v>
      </x:c>
      <x:c r="S29" s="7" t="n">
        <x:f>'Viewer'!P37</x:f>
        <x:v>0</x:v>
      </x:c>
      <x:c r="T29" s="7" t="n">
        <x:f>'Viewer'!Q37</x:f>
        <x:v>0</x:v>
      </x:c>
      <x:c r="U29" s="7" t="n">
        <x:f>'Viewer'!R37</x:f>
        <x:v>0</x:v>
      </x:c>
      <x:c r="V29" s="7" t="str">
        <x:f>'Viewer'!S37</x:f>
      </x:c>
      <x:c r="W29" s="7" t="str">
        <x:v>R05</x:v>
      </x:c>
      <x:c r="X29" s="7" t="n">
        <x:f>'Viewer'!$B$5</x:f>
        <x:v>0</x:v>
      </x:c>
      <x:c r="Y29" s="48" t="n">
        <x:f>'Viewer'!V37</x:f>
        <x:v>0</x:v>
      </x:c>
      <x:c r="Z29" s="7" t="n">
        <x:f>'Viewer'!U37</x:f>
        <x:v>0</x:v>
      </x:c>
    </x:row>
    <x:row r="30">
      <x:c r="A30" s="7" t="str">
        <x:v>UX-029</x:v>
      </x:c>
      <x:c r="B30" s="7" t="str">
        <x:v>Viewer</x:v>
      </x:c>
      <x:c r="C30" s="7" t="str">
        <x:v>Accessibility</x:v>
      </x:c>
      <x:c r="D30" s="7" t="str">
        <x:v>Motion</x:v>
      </x:c>
      <x:c r="E30" s="7" t="str">
        <x:v>Use site with reduced-motion preference</x:v>
      </x:c>
      <x:c r="F30" s="7" t="str">
        <x:v>Non-essential animation should respect reduced-motion preferences and remain understandable.</x:v>
      </x:c>
      <x:c r="G30" s="7" t="str">
        <x:v>User control/accessibility</x:v>
      </x:c>
      <x:c r="H30" s="7" t="str">
        <x:v>Background motion/entrance animations are prominent; source audit does not establish global prefers-reduced-motion behavior.</x:v>
      </x:c>
      <x:c r="I30" s="7" t="str">
        <x:v>Gap</x:v>
      </x:c>
      <x:c r="J30" s="7" t="str">
        <x:v>Add prefers-reduced-motion fallback for public templates and previews.</x:v>
      </x:c>
      <x:c r="K30" s="7" t="str">
        <x:v>Task-based usability</x:v>
      </x:c>
      <x:c r="L30" s="7" t="str">
        <x:v>P1</x:v>
      </x:c>
      <x:c r="M30" s="7" t="str">
        <x:v>Complete without facilitator; SEQ ≥5/7</x:v>
      </x:c>
      <x:c r="N30" s="7" t="str">
        <x:f>'Viewer'!K38</x:f>
        <x:v>Not Tested</x:v>
      </x:c>
      <x:c r="O30" s="7" t="n">
        <x:f>'Viewer'!L38</x:f>
        <x:v>0</x:v>
      </x:c>
      <x:c r="P30" s="7" t="n">
        <x:f>'Viewer'!M38</x:f>
        <x:v>0</x:v>
      </x:c>
      <x:c r="Q30" s="7" t="n">
        <x:f>'Viewer'!N38</x:f>
        <x:v>0</x:v>
      </x:c>
      <x:c r="R30" s="7" t="n">
        <x:f>'Viewer'!O38</x:f>
        <x:v>0</x:v>
      </x:c>
      <x:c r="S30" s="7" t="n">
        <x:f>'Viewer'!P38</x:f>
        <x:v>0</x:v>
      </x:c>
      <x:c r="T30" s="7" t="n">
        <x:f>'Viewer'!Q38</x:f>
        <x:v>0</x:v>
      </x:c>
      <x:c r="U30" s="7" t="n">
        <x:f>'Viewer'!R38</x:f>
        <x:v>0</x:v>
      </x:c>
      <x:c r="V30" s="7" t="n">
        <x:f>'Viewer'!S38</x:f>
        <x:v>0</x:v>
      </x:c>
      <x:c r="W30" s="7" t="str">
        <x:v>R03</x:v>
      </x:c>
      <x:c r="X30" s="7" t="n">
        <x:f>'Viewer'!$B$5</x:f>
        <x:v>0</x:v>
      </x:c>
      <x:c r="Y30" s="48" t="n">
        <x:f>'Viewer'!V38</x:f>
        <x:v>0</x:v>
      </x:c>
      <x:c r="Z30" s="7" t="n">
        <x:f>'Viewer'!U38</x:f>
        <x:v>0</x:v>
      </x:c>
    </x:row>
    <x:row r="31">
      <x:c r="A31" s="7" t="str">
        <x:v>UX-030</x:v>
      </x:c>
      <x:c r="B31" s="7" t="str">
        <x:v>Customer</x:v>
      </x:c>
      <x:c r="C31" s="7" t="str">
        <x:v>Identity</x:v>
      </x:c>
      <x:c r="D31" s="7" t="str">
        <x:v>Role Language</x:v>
      </x:c>
      <x:c r="E31" s="7" t="str">
        <x:v>Recognize own role and navigation</x:v>
      </x:c>
      <x:c r="F31" s="7" t="str">
        <x:v>Role labels should match business language used with customers.</x:v>
      </x:c>
      <x:c r="G31" s="7" t="str">
        <x:v>Match real world; consistency</x:v>
      </x:c>
      <x:c r="H31" s="7" t="str">
        <x:v>Backend/UI primarily calls the role 'User'; requested product language is 'Customer'.</x:v>
      </x:c>
      <x:c r="I31" s="7" t="str">
        <x:v>Gap</x:v>
      </x:c>
      <x:c r="J31" s="7" t="str">
        <x:v>Rename customer-facing role/UI from User to Customer while keeping internal role IDs stable.</x:v>
      </x:c>
      <x:c r="K31" s="7" t="str">
        <x:v>Task-based usability</x:v>
      </x:c>
      <x:c r="L31" s="7" t="str">
        <x:v>P0</x:v>
      </x:c>
      <x:c r="M31" s="7" t="str">
        <x:v>Complete without facilitator; SEQ ≥5/7</x:v>
      </x:c>
      <x:c r="N31" s="7" t="str">
        <x:f>'Customer'!K10</x:f>
        <x:v>Not Tested</x:v>
      </x:c>
      <x:c r="O31" s="7" t="n">
        <x:f>'Customer'!L10</x:f>
        <x:v>0</x:v>
      </x:c>
      <x:c r="P31" s="7" t="n">
        <x:f>'Customer'!M10</x:f>
        <x:v>0</x:v>
      </x:c>
      <x:c r="Q31" s="7" t="n">
        <x:f>'Customer'!N10</x:f>
        <x:v>0</x:v>
      </x:c>
      <x:c r="R31" s="7" t="n">
        <x:f>'Customer'!O10</x:f>
        <x:v>0</x:v>
      </x:c>
      <x:c r="S31" s="7" t="n">
        <x:f>'Customer'!P10</x:f>
        <x:v>0</x:v>
      </x:c>
      <x:c r="T31" s="7" t="n">
        <x:f>'Customer'!Q10</x:f>
        <x:v>0</x:v>
      </x:c>
      <x:c r="U31" s="7" t="n">
        <x:f>'Customer'!R10</x:f>
        <x:v>0</x:v>
      </x:c>
      <x:c r="V31" s="7" t="str">
        <x:f>'Customer'!S10</x:f>
      </x:c>
      <x:c r="W31" s="7" t="str">
        <x:v>R01</x:v>
      </x:c>
      <x:c r="X31" s="7" t="n">
        <x:f>'Customer'!$B$5</x:f>
        <x:v>0</x:v>
      </x:c>
      <x:c r="Y31" s="48" t="n">
        <x:f>'Customer'!V10</x:f>
        <x:v>0</x:v>
      </x:c>
      <x:c r="Z31" s="7" t="n">
        <x:f>'Customer'!U10</x:f>
        <x:v>0</x:v>
      </x:c>
    </x:row>
    <x:row r="32">
      <x:c r="A32" s="7" t="str">
        <x:v>UX-031</x:v>
      </x:c>
      <x:c r="B32" s="7" t="str">
        <x:v>Customer</x:v>
      </x:c>
      <x:c r="C32" s="7" t="str">
        <x:v>Authentication</x:v>
      </x:c>
      <x:c r="D32" s="7" t="str">
        <x:v>Login</x:v>
      </x:c>
      <x:c r="E32" s="7" t="str">
        <x:v>Sign in without internal/debug information</x:v>
      </x:c>
      <x:c r="F32" s="7" t="str">
        <x:v>Login should contain only information needed to authenticate and recover access.</x:v>
      </x:c>
      <x:c r="G32" s="7" t="str">
        <x:v>Minimalist design; security trust</x:v>
      </x:c>
      <x:c r="H32" s="7" t="str">
        <x:v>Login pre-fills admin/admin and displays Superadmin hints/default credentials.</x:v>
      </x:c>
      <x:c r="I32" s="7" t="str">
        <x:v>Gap</x:v>
      </x:c>
      <x:c r="J32" s="7" t="str">
        <x:v>Remove default admin credentials and database wording from non-local development builds.</x:v>
      </x:c>
      <x:c r="K32" s="7" t="str">
        <x:v>Task-based usability</x:v>
      </x:c>
      <x:c r="L32" s="7" t="str">
        <x:v>P0</x:v>
      </x:c>
      <x:c r="M32" s="7" t="str">
        <x:v>Complete without facilitator; SEQ ≥5/7</x:v>
      </x:c>
      <x:c r="N32" s="7" t="str">
        <x:f>'Customer'!K11</x:f>
        <x:v>Not Tested</x:v>
      </x:c>
      <x:c r="O32" s="7" t="n">
        <x:f>'Customer'!L11</x:f>
        <x:v>0</x:v>
      </x:c>
      <x:c r="P32" s="7" t="n">
        <x:f>'Customer'!M11</x:f>
        <x:v>0</x:v>
      </x:c>
      <x:c r="Q32" s="7" t="n">
        <x:f>'Customer'!N11</x:f>
        <x:v>0</x:v>
      </x:c>
      <x:c r="R32" s="7" t="n">
        <x:f>'Customer'!O11</x:f>
        <x:v>0</x:v>
      </x:c>
      <x:c r="S32" s="7" t="n">
        <x:f>'Customer'!P11</x:f>
        <x:v>0</x:v>
      </x:c>
      <x:c r="T32" s="7" t="n">
        <x:f>'Customer'!Q11</x:f>
        <x:v>0</x:v>
      </x:c>
      <x:c r="U32" s="7" t="n">
        <x:f>'Customer'!R11</x:f>
        <x:v>0</x:v>
      </x:c>
      <x:c r="V32" s="7" t="str">
        <x:f>'Customer'!S11</x:f>
      </x:c>
      <x:c r="W32" s="7" t="str">
        <x:v>R01,R03</x:v>
      </x:c>
      <x:c r="X32" s="7" t="n">
        <x:f>'Customer'!$B$5</x:f>
        <x:v>0</x:v>
      </x:c>
      <x:c r="Y32" s="48" t="n">
        <x:f>'Customer'!V11</x:f>
        <x:v>0</x:v>
      </x:c>
      <x:c r="Z32" s="7" t="n">
        <x:f>'Customer'!U11</x:f>
        <x:v>0</x:v>
      </x:c>
    </x:row>
    <x:row r="33">
      <x:c r="A33" s="7" t="str">
        <x:v>UX-032</x:v>
      </x:c>
      <x:c r="B33" s="7" t="str">
        <x:v>Customer</x:v>
      </x:c>
      <x:c r="C33" s="7" t="str">
        <x:v>Authentication</x:v>
      </x:c>
      <x:c r="D33" s="7" t="str">
        <x:v>Password</x:v>
      </x:c>
      <x:c r="E33" s="7" t="str">
        <x:v>Show/hide password intentionally</x:v>
      </x:c>
      <x:c r="F33" s="7" t="str">
        <x:v>Password reveal should be keyboard accessible and preserve value.</x:v>
      </x:c>
      <x:c r="G33" s="7" t="str">
        <x:v>Accessible authentication</x:v>
      </x:c>
      <x:c r="H33" s="7" t="str">
        <x:v>Show/hide buttons exist for login and registration.</x:v>
      </x:c>
      <x:c r="I33" s="7" t="str">
        <x:v>Meets</x:v>
      </x:c>
      <x:c r="J33" s="7" t="str">
        <x:v>Add aria-label/state text and test screen readers.</x:v>
      </x:c>
      <x:c r="K33" s="7" t="str">
        <x:v>Task-based usability</x:v>
      </x:c>
      <x:c r="L33" s="7" t="str">
        <x:v>P1</x:v>
      </x:c>
      <x:c r="M33" s="7" t="str">
        <x:v>Complete without facilitator; SEQ ≥5/7</x:v>
      </x:c>
      <x:c r="N33" s="7" t="str">
        <x:f>'Customer'!K12</x:f>
        <x:v>Not Tested</x:v>
      </x:c>
      <x:c r="O33" s="7" t="n">
        <x:f>'Customer'!L12</x:f>
        <x:v>0</x:v>
      </x:c>
      <x:c r="P33" s="7" t="n">
        <x:f>'Customer'!M12</x:f>
        <x:v>0</x:v>
      </x:c>
      <x:c r="Q33" s="7" t="n">
        <x:f>'Customer'!N12</x:f>
        <x:v>0</x:v>
      </x:c>
      <x:c r="R33" s="7" t="n">
        <x:f>'Customer'!O12</x:f>
        <x:v>0</x:v>
      </x:c>
      <x:c r="S33" s="7" t="n">
        <x:f>'Customer'!P12</x:f>
        <x:v>0</x:v>
      </x:c>
      <x:c r="T33" s="7" t="n">
        <x:f>'Customer'!Q12</x:f>
        <x:v>0</x:v>
      </x:c>
      <x:c r="U33" s="7" t="n">
        <x:f>'Customer'!R12</x:f>
        <x:v>0</x:v>
      </x:c>
      <x:c r="V33" s="7" t="str">
        <x:f>'Customer'!S12</x:f>
      </x:c>
      <x:c r="W33" s="7" t="str">
        <x:v>R03</x:v>
      </x:c>
      <x:c r="X33" s="7" t="n">
        <x:f>'Customer'!$B$5</x:f>
        <x:v>0</x:v>
      </x:c>
      <x:c r="Y33" s="48" t="n">
        <x:f>'Customer'!V12</x:f>
        <x:v>0</x:v>
      </x:c>
      <x:c r="Z33" s="7" t="n">
        <x:f>'Customer'!U12</x:f>
        <x:v>0</x:v>
      </x:c>
    </x:row>
    <x:row r="34">
      <x:c r="A34" s="7" t="str">
        <x:v>UX-033</x:v>
      </x:c>
      <x:c r="B34" s="7" t="str">
        <x:v>Customer</x:v>
      </x:c>
      <x:c r="C34" s="7" t="str">
        <x:v>Authentication</x:v>
      </x:c>
      <x:c r="D34" s="7" t="str">
        <x:v>Registration</x:v>
      </x:c>
      <x:c r="E34" s="7" t="str">
        <x:v>Create an account with password confirmation</x:v>
      </x:c>
      <x:c r="F34" s="7" t="str">
        <x:v>Registration should validate required fields, password confirmation, duplicate identity and verification state.</x:v>
      </x:c>
      <x:c r="G34" s="7" t="str">
        <x:v>Error prevention</x:v>
      </x:c>
      <x:c r="H34" s="7" t="str">
        <x:v>Signup requires repeat password and email verification.</x:v>
      </x:c>
      <x:c r="I34" s="7" t="str">
        <x:v>Meets</x:v>
      </x:c>
      <x:c r="J34" s="7" t="str">
        <x:v>Add password requirements before submission and resend-verification UX.</x:v>
      </x:c>
      <x:c r="K34" s="7" t="str">
        <x:v>Task-based usability</x:v>
      </x:c>
      <x:c r="L34" s="7" t="str">
        <x:v>P1</x:v>
      </x:c>
      <x:c r="M34" s="7" t="str">
        <x:v>Complete without facilitator; SEQ ≥5/7</x:v>
      </x:c>
      <x:c r="N34" s="7" t="str">
        <x:f>'Customer'!K13</x:f>
        <x:v>Not Tested</x:v>
      </x:c>
      <x:c r="O34" s="7" t="n">
        <x:f>'Customer'!L13</x:f>
        <x:v>0</x:v>
      </x:c>
      <x:c r="P34" s="7" t="n">
        <x:f>'Customer'!M13</x:f>
        <x:v>0</x:v>
      </x:c>
      <x:c r="Q34" s="7" t="n">
        <x:f>'Customer'!N13</x:f>
        <x:v>0</x:v>
      </x:c>
      <x:c r="R34" s="7" t="n">
        <x:f>'Customer'!O13</x:f>
        <x:v>0</x:v>
      </x:c>
      <x:c r="S34" s="7" t="n">
        <x:f>'Customer'!P13</x:f>
        <x:v>0</x:v>
      </x:c>
      <x:c r="T34" s="7" t="n">
        <x:f>'Customer'!Q13</x:f>
        <x:v>0</x:v>
      </x:c>
      <x:c r="U34" s="7" t="n">
        <x:f>'Customer'!R13</x:f>
        <x:v>0</x:v>
      </x:c>
      <x:c r="V34" s="7" t="str">
        <x:f>'Customer'!S13</x:f>
      </x:c>
      <x:c r="W34" s="7" t="str">
        <x:v>R01,R03</x:v>
      </x:c>
      <x:c r="X34" s="7" t="n">
        <x:f>'Customer'!$B$5</x:f>
        <x:v>0</x:v>
      </x:c>
      <x:c r="Y34" s="48" t="n">
        <x:f>'Customer'!V13</x:f>
        <x:v>0</x:v>
      </x:c>
      <x:c r="Z34" s="7" t="n">
        <x:f>'Customer'!U13</x:f>
        <x:v>0</x:v>
      </x:c>
    </x:row>
    <x:row r="35">
      <x:c r="A35" s="7" t="str">
        <x:v>UX-034</x:v>
      </x:c>
      <x:c r="B35" s="7" t="str">
        <x:v>Customer</x:v>
      </x:c>
      <x:c r="C35" s="7" t="str">
        <x:v>Authentication</x:v>
      </x:c>
      <x:c r="D35" s="7" t="str">
        <x:v>Email Verification</x:v>
      </x:c>
      <x:c r="E35" s="7" t="str">
        <x:v>Understand verification and recover if email is delayed</x:v>
      </x:c>
      <x:c r="F35" s="7" t="str">
        <x:v>Verification state should explain next action and support resend/change email.</x:v>
      </x:c>
      <x:c r="G35" s="7" t="str">
        <x:v>Error recovery; accessible auth</x:v>
      </x:c>
      <x:c r="H35" s="7" t="str">
        <x:v>Verification page exists; localhost exposes dev verification helper.</x:v>
      </x:c>
      <x:c r="I35" s="7" t="str">
        <x:v>Partial</x:v>
      </x:c>
      <x:c r="J35" s="7" t="str">
        <x:v>Add production resend email, change-email and expired-token recovery; hide dev helper.</x:v>
      </x:c>
      <x:c r="K35" s="7" t="str">
        <x:v>Task-based usability</x:v>
      </x:c>
      <x:c r="L35" s="7" t="str">
        <x:v>P0</x:v>
      </x:c>
      <x:c r="M35" s="7" t="str">
        <x:v>Complete without facilitator; SEQ ≥5/7</x:v>
      </x:c>
      <x:c r="N35" s="7" t="str">
        <x:f>'Customer'!K14</x:f>
        <x:v>Not Tested</x:v>
      </x:c>
      <x:c r="O35" s="7" t="n">
        <x:f>'Customer'!L14</x:f>
        <x:v>0</x:v>
      </x:c>
      <x:c r="P35" s="7" t="n">
        <x:f>'Customer'!M14</x:f>
        <x:v>0</x:v>
      </x:c>
      <x:c r="Q35" s="7" t="n">
        <x:f>'Customer'!N14</x:f>
        <x:v>0</x:v>
      </x:c>
      <x:c r="R35" s="7" t="n">
        <x:f>'Customer'!O14</x:f>
        <x:v>0</x:v>
      </x:c>
      <x:c r="S35" s="7" t="n">
        <x:f>'Customer'!P14</x:f>
        <x:v>0</x:v>
      </x:c>
      <x:c r="T35" s="7" t="n">
        <x:f>'Customer'!Q14</x:f>
        <x:v>0</x:v>
      </x:c>
      <x:c r="U35" s="7" t="n">
        <x:f>'Customer'!R14</x:f>
        <x:v>0</x:v>
      </x:c>
      <x:c r="V35" s="7" t="str">
        <x:f>'Customer'!S14</x:f>
      </x:c>
      <x:c r="W35" s="7" t="str">
        <x:v>R01,R03</x:v>
      </x:c>
      <x:c r="X35" s="7" t="n">
        <x:f>'Customer'!$B$5</x:f>
        <x:v>0</x:v>
      </x:c>
      <x:c r="Y35" s="48" t="n">
        <x:f>'Customer'!V14</x:f>
        <x:v>0</x:v>
      </x:c>
      <x:c r="Z35" s="7" t="n">
        <x:f>'Customer'!U14</x:f>
        <x:v>0</x:v>
      </x:c>
    </x:row>
    <x:row r="36">
      <x:c r="A36" s="7" t="str">
        <x:v>UX-035</x:v>
      </x:c>
      <x:c r="B36" s="7" t="str">
        <x:v>Customer</x:v>
      </x:c>
      <x:c r="C36" s="7" t="str">
        <x:v>Authentication</x:v>
      </x:c>
      <x:c r="D36" s="7" t="str">
        <x:v>Session</x:v>
      </x:c>
      <x:c r="E36" s="7" t="str">
        <x:v>Refresh dashboard without losing location</x:v>
      </x:c>
      <x:c r="F36" s="7" t="str">
        <x:v>Authenticated users should remain signed in and return to meaningful context.</x:v>
      </x:c>
      <x:c r="G36" s="7" t="str">
        <x:v>User control; continuity</x:v>
      </x:c>
      <x:c r="H36" s="7" t="str">
        <x:v>Session persistence was implemented in earlier QA release.</x:v>
      </x:c>
      <x:c r="I36" s="7" t="str">
        <x:v>Meets</x:v>
      </x:c>
      <x:c r="J36" s="7" t="str">
        <x:v>Test direct deep links to dashboard/editor after refresh.</x:v>
      </x:c>
      <x:c r="K36" s="7" t="str">
        <x:v>Task-based usability</x:v>
      </x:c>
      <x:c r="L36" s="7" t="str">
        <x:v>P1</x:v>
      </x:c>
      <x:c r="M36" s="7" t="str">
        <x:v>Complete without facilitator; SEQ ≥5/7</x:v>
      </x:c>
      <x:c r="N36" s="7" t="str">
        <x:f>'Customer'!K15</x:f>
        <x:v>Not Tested</x:v>
      </x:c>
      <x:c r="O36" s="7" t="n">
        <x:f>'Customer'!L15</x:f>
        <x:v>0</x:v>
      </x:c>
      <x:c r="P36" s="7" t="n">
        <x:f>'Customer'!M15</x:f>
        <x:v>0</x:v>
      </x:c>
      <x:c r="Q36" s="7" t="n">
        <x:f>'Customer'!N15</x:f>
        <x:v>0</x:v>
      </x:c>
      <x:c r="R36" s="7" t="n">
        <x:f>'Customer'!O15</x:f>
        <x:v>0</x:v>
      </x:c>
      <x:c r="S36" s="7" t="n">
        <x:f>'Customer'!P15</x:f>
        <x:v>0</x:v>
      </x:c>
      <x:c r="T36" s="7" t="n">
        <x:f>'Customer'!Q15</x:f>
        <x:v>0</x:v>
      </x:c>
      <x:c r="U36" s="7" t="n">
        <x:f>'Customer'!R15</x:f>
        <x:v>0</x:v>
      </x:c>
      <x:c r="V36" s="7" t="str">
        <x:f>'Customer'!S15</x:f>
      </x:c>
      <x:c r="W36" s="7" t="str">
        <x:v>R01</x:v>
      </x:c>
      <x:c r="X36" s="7" t="n">
        <x:f>'Customer'!$B$5</x:f>
        <x:v>0</x:v>
      </x:c>
      <x:c r="Y36" s="48" t="n">
        <x:f>'Customer'!V15</x:f>
        <x:v>0</x:v>
      </x:c>
      <x:c r="Z36" s="7" t="n">
        <x:f>'Customer'!U15</x:f>
        <x:v>0</x:v>
      </x:c>
    </x:row>
    <x:row r="37">
      <x:c r="A37" s="7" t="str">
        <x:v>UX-036</x:v>
      </x:c>
      <x:c r="B37" s="7" t="str">
        <x:v>Customer</x:v>
      </x:c>
      <x:c r="C37" s="7" t="str">
        <x:v>Onboarding</x:v>
      </x:c>
      <x:c r="D37" s="7" t="str">
        <x:v>First Login</x:v>
      </x:c>
      <x:c r="E37" s="7" t="str">
        <x:v>Know what to do after first login</x:v>
      </x:c>
      <x:c r="F37" s="7" t="str">
        <x:v>First-time Customer should see a clear next-best action and project/site status.</x:v>
      </x:c>
      <x:c r="G37" s="7" t="str">
        <x:v>Recognition rather than recall</x:v>
      </x:c>
      <x:c r="H37" s="7" t="str">
        <x:v>No dedicated first-run onboarding/checklist is evident.</x:v>
      </x:c>
      <x:c r="I37" s="7" t="str">
        <x:v>Gap</x:v>
      </x:c>
      <x:c r="J37" s="7" t="str">
        <x:v>Add onboarding checklist: choose/purchased template → content → guest list → preview → publish.</x:v>
      </x:c>
      <x:c r="K37" s="7" t="str">
        <x:v>Task-based usability</x:v>
      </x:c>
      <x:c r="L37" s="7" t="str">
        <x:v>P1</x:v>
      </x:c>
      <x:c r="M37" s="7" t="str">
        <x:v>Complete without facilitator; SEQ ≥5/7</x:v>
      </x:c>
      <x:c r="N37" s="7" t="str">
        <x:f>'Customer'!K16</x:f>
        <x:v>Not Tested</x:v>
      </x:c>
      <x:c r="O37" s="7" t="n">
        <x:f>'Customer'!L16</x:f>
        <x:v>0</x:v>
      </x:c>
      <x:c r="P37" s="7" t="n">
        <x:f>'Customer'!M16</x:f>
        <x:v>0</x:v>
      </x:c>
      <x:c r="Q37" s="7" t="n">
        <x:f>'Customer'!N16</x:f>
        <x:v>0</x:v>
      </x:c>
      <x:c r="R37" s="7" t="n">
        <x:f>'Customer'!O16</x:f>
        <x:v>0</x:v>
      </x:c>
      <x:c r="S37" s="7" t="n">
        <x:f>'Customer'!P16</x:f>
        <x:v>0</x:v>
      </x:c>
      <x:c r="T37" s="7" t="n">
        <x:f>'Customer'!Q16</x:f>
        <x:v>0</x:v>
      </x:c>
      <x:c r="U37" s="7" t="n">
        <x:f>'Customer'!R16</x:f>
        <x:v>0</x:v>
      </x:c>
      <x:c r="V37" s="7" t="str">
        <x:f>'Customer'!S16</x:f>
      </x:c>
      <x:c r="W37" s="7" t="str">
        <x:v>R01</x:v>
      </x:c>
      <x:c r="X37" s="7" t="n">
        <x:f>'Customer'!$B$5</x:f>
        <x:v>0</x:v>
      </x:c>
      <x:c r="Y37" s="48" t="n">
        <x:f>'Customer'!V16</x:f>
        <x:v>0</x:v>
      </x:c>
      <x:c r="Z37" s="7" t="n">
        <x:f>'Customer'!U16</x:f>
        <x:v>0</x:v>
      </x:c>
    </x:row>
    <x:row r="38">
      <x:c r="A38" s="7" t="str">
        <x:v>UX-037</x:v>
      </x:c>
      <x:c r="B38" s="7" t="str">
        <x:v>Customer</x:v>
      </x:c>
      <x:c r="C38" s="7" t="str">
        <x:v>Dashboard</x:v>
      </x:c>
      <x:c r="D38" s="7" t="str">
        <x:v>Overview</x:v>
      </x:c>
      <x:c r="E38" s="7" t="str">
        <x:v>Understand wedding site health and next action</x:v>
      </x:c>
      <x:c r="F38" s="7" t="str">
        <x:v>Dashboard should prioritize site/project state, upcoming work and actionable alerts.</x:v>
      </x:c>
      <x:c r="G38" s="7" t="str">
        <x:v>Visibility of status</x:v>
      </x:c>
      <x:c r="H38" s="7" t="str">
        <x:v>Dashboard focuses on active Canvas and RSVP metrics.</x:v>
      </x:c>
      <x:c r="I38" s="7" t="str">
        <x:v>Partial</x:v>
      </x:c>
      <x:c r="J38" s="7" t="str">
        <x:v>Add overall Website/Project status above per-Canvas metrics.</x:v>
      </x:c>
      <x:c r="K38" s="7" t="str">
        <x:v>Task-based usability</x:v>
      </x:c>
      <x:c r="L38" s="7" t="str">
        <x:v>P1</x:v>
      </x:c>
      <x:c r="M38" s="7" t="str">
        <x:v>Complete without facilitator; SEQ ≥5/7</x:v>
      </x:c>
      <x:c r="N38" s="7" t="str">
        <x:f>'Customer'!K17</x:f>
        <x:v>Not Tested</x:v>
      </x:c>
      <x:c r="O38" s="7" t="n">
        <x:f>'Customer'!L17</x:f>
        <x:v>0</x:v>
      </x:c>
      <x:c r="P38" s="7" t="n">
        <x:f>'Customer'!M17</x:f>
        <x:v>0</x:v>
      </x:c>
      <x:c r="Q38" s="7" t="n">
        <x:f>'Customer'!N17</x:f>
        <x:v>0</x:v>
      </x:c>
      <x:c r="R38" s="7" t="n">
        <x:f>'Customer'!O17</x:f>
        <x:v>0</x:v>
      </x:c>
      <x:c r="S38" s="7" t="n">
        <x:f>'Customer'!P17</x:f>
        <x:v>0</x:v>
      </x:c>
      <x:c r="T38" s="7" t="n">
        <x:f>'Customer'!Q17</x:f>
        <x:v>0</x:v>
      </x:c>
      <x:c r="U38" s="7" t="n">
        <x:f>'Customer'!R17</x:f>
        <x:v>0</x:v>
      </x:c>
      <x:c r="V38" s="7" t="str">
        <x:f>'Customer'!S17</x:f>
      </x:c>
      <x:c r="W38" s="7" t="str">
        <x:v>R01</x:v>
      </x:c>
      <x:c r="X38" s="7" t="n">
        <x:f>'Customer'!$B$5</x:f>
        <x:v>0</x:v>
      </x:c>
      <x:c r="Y38" s="48" t="n">
        <x:f>'Customer'!V17</x:f>
        <x:v>0</x:v>
      </x:c>
      <x:c r="Z38" s="7" t="n">
        <x:f>'Customer'!U17</x:f>
        <x:v>0</x:v>
      </x:c>
    </x:row>
    <x:row r="39">
      <x:c r="A39" s="7" t="str">
        <x:v>UX-038</x:v>
      </x:c>
      <x:c r="B39" s="7" t="str">
        <x:v>Customer</x:v>
      </x:c>
      <x:c r="C39" s="7" t="str">
        <x:v>Dashboard</x:v>
      </x:c>
      <x:c r="D39" s="7" t="str">
        <x:v>Completeness</x:v>
      </x:c>
      <x:c r="E39" s="7" t="str">
        <x:v>Trust the displayed completeness percentage</x:v>
      </x:c>
      <x:c r="F39" s="7" t="str">
        <x:v>Progress indicators must be based on meaningful completion criteria, not decorative formulas.</x:v>
      </x:c>
      <x:c r="G39" s="7" t="str">
        <x:v>Trustworthy system status</x:v>
      </x:c>
      <x:c r="H39" s="7" t="str">
        <x:v>Canvas completeness is calculated as 35 + feature count × 8, capped at 100.</x:v>
      </x:c>
      <x:c r="I39" s="7" t="str">
        <x:v>Gap</x:v>
      </x:c>
      <x:c r="J39" s="7" t="str">
        <x:v>Replace with explicit checklist-based completeness (title, cover, event, location, RSVP, guest list, publish).</x:v>
      </x:c>
      <x:c r="K39" s="7" t="str">
        <x:v>Task-based usability</x:v>
      </x:c>
      <x:c r="L39" s="7" t="str">
        <x:v>P0</x:v>
      </x:c>
      <x:c r="M39" s="7" t="str">
        <x:v>Complete without facilitator; SEQ ≥5/7</x:v>
      </x:c>
      <x:c r="N39" s="7" t="str">
        <x:f>'Customer'!K18</x:f>
        <x:v>Not Tested</x:v>
      </x:c>
      <x:c r="O39" s="7" t="n">
        <x:f>'Customer'!L18</x:f>
        <x:v>0</x:v>
      </x:c>
      <x:c r="P39" s="7" t="n">
        <x:f>'Customer'!M18</x:f>
        <x:v>0</x:v>
      </x:c>
      <x:c r="Q39" s="7" t="n">
        <x:f>'Customer'!N18</x:f>
        <x:v>0</x:v>
      </x:c>
      <x:c r="R39" s="7" t="n">
        <x:f>'Customer'!O18</x:f>
        <x:v>0</x:v>
      </x:c>
      <x:c r="S39" s="7" t="n">
        <x:f>'Customer'!P18</x:f>
        <x:v>0</x:v>
      </x:c>
      <x:c r="T39" s="7" t="n">
        <x:f>'Customer'!Q18</x:f>
        <x:v>0</x:v>
      </x:c>
      <x:c r="U39" s="7" t="n">
        <x:f>'Customer'!R18</x:f>
        <x:v>0</x:v>
      </x:c>
      <x:c r="V39" s="7" t="str">
        <x:f>'Customer'!S18</x:f>
      </x:c>
      <x:c r="W39" s="7" t="str">
        <x:v>R01</x:v>
      </x:c>
      <x:c r="X39" s="7" t="n">
        <x:f>'Customer'!$B$5</x:f>
        <x:v>0</x:v>
      </x:c>
      <x:c r="Y39" s="48" t="n">
        <x:f>'Customer'!V18</x:f>
        <x:v>0</x:v>
      </x:c>
      <x:c r="Z39" s="7" t="n">
        <x:f>'Customer'!U18</x:f>
        <x:v>0</x:v>
      </x:c>
    </x:row>
    <x:row r="40">
      <x:c r="A40" s="7" t="str">
        <x:v>UX-039</x:v>
      </x:c>
      <x:c r="B40" s="7" t="str">
        <x:v>Customer</x:v>
      </x:c>
      <x:c r="C40" s="7" t="str">
        <x:v>Commerce</x:v>
      </x:c>
      <x:c r="D40" s="7" t="str">
        <x:v>Order History</x:v>
      </x:c>
      <x:c r="E40" s="7" t="str">
        <x:v>Track own purchased template and project status</x:v>
      </x:c>
      <x:c r="F40" s="7" t="str">
        <x:v>After checkout, Customer should be able to see order, payment, assigned CS/Designer, receipt and current project state.</x:v>
      </x:c>
      <x:c r="G40" s="7" t="str">
        <x:v>Visibility; continuity</x:v>
      </x:c>
      <x:c r="H40" s="7" t="str">
        <x:v>role_user has orders.create but no orders.view; no Customer order/project page is rendered.</x:v>
      </x:c>
      <x:c r="I40" s="7" t="str">
        <x:v>Gap</x:v>
      </x:c>
      <x:c r="J40" s="7" t="str">
        <x:v>Add My Orders / Project Timeline with payment, assignment, task milestones, receipt and support thread.</x:v>
      </x:c>
      <x:c r="K40" s="7" t="str">
        <x:v>Task-based usability</x:v>
      </x:c>
      <x:c r="L40" s="7" t="str">
        <x:v>P0</x:v>
      </x:c>
      <x:c r="M40" s="7" t="str">
        <x:v>Complete without facilitator; SEQ ≥5/7</x:v>
      </x:c>
      <x:c r="N40" s="7" t="str">
        <x:f>'Customer'!K19</x:f>
        <x:v>Not Tested</x:v>
      </x:c>
      <x:c r="O40" s="7" t="n">
        <x:f>'Customer'!L19</x:f>
        <x:v>0</x:v>
      </x:c>
      <x:c r="P40" s="7" t="n">
        <x:f>'Customer'!M19</x:f>
        <x:v>0</x:v>
      </x:c>
      <x:c r="Q40" s="7" t="n">
        <x:f>'Customer'!N19</x:f>
        <x:v>0</x:v>
      </x:c>
      <x:c r="R40" s="7" t="n">
        <x:f>'Customer'!O19</x:f>
        <x:v>0</x:v>
      </x:c>
      <x:c r="S40" s="7" t="n">
        <x:f>'Customer'!P19</x:f>
        <x:v>0</x:v>
      </x:c>
      <x:c r="T40" s="7" t="n">
        <x:f>'Customer'!Q19</x:f>
        <x:v>0</x:v>
      </x:c>
      <x:c r="U40" s="7" t="n">
        <x:f>'Customer'!R19</x:f>
        <x:v>0</x:v>
      </x:c>
      <x:c r="V40" s="7" t="str">
        <x:f>'Customer'!S19</x:f>
      </x:c>
      <x:c r="W40" s="7" t="str">
        <x:v>R01,R02</x:v>
      </x:c>
      <x:c r="X40" s="7" t="n">
        <x:f>'Customer'!$B$5</x:f>
        <x:v>0</x:v>
      </x:c>
      <x:c r="Y40" s="48" t="n">
        <x:f>'Customer'!V19</x:f>
        <x:v>0</x:v>
      </x:c>
      <x:c r="Z40" s="7" t="n">
        <x:f>'Customer'!U19</x:f>
        <x:v>0</x:v>
      </x:c>
    </x:row>
    <x:row r="41">
      <x:c r="A41" s="7" t="str">
        <x:v>UX-040</x:v>
      </x:c>
      <x:c r="B41" s="7" t="str">
        <x:v>Customer</x:v>
      </x:c>
      <x:c r="C41" s="7" t="str">
        <x:v>Templates</x:v>
      </x:c>
      <x:c r="D41" s="7" t="str">
        <x:v>Website Designs</x:v>
      </x:c>
      <x:c r="E41" s="7" t="str">
        <x:v>See one saved design instead of internal Canvas structures</x:v>
      </x:c>
      <x:c r="F41" s="7" t="str">
        <x:v>Customer-facing catalog should group internal Canvas/sections into one website design instance.</x:v>
      </x:c>
      <x:c r="G41" s="7" t="str">
        <x:v>Match user mental model</x:v>
      </x:c>
      <x:c r="H41" s="7" t="str">
        <x:v>v0.13 groups applied template design into one card.</x:v>
      </x:c>
      <x:c r="I41" s="7" t="str">
        <x:v>Meets</x:v>
      </x:c>
      <x:c r="J41" s="7" t="str">
        <x:v>Usability-test card labels so 'Canvas' remains internal only where needed.</x:v>
      </x:c>
      <x:c r="K41" s="7" t="str">
        <x:v>Task-based usability</x:v>
      </x:c>
      <x:c r="L41" s="7" t="str">
        <x:v>P1</x:v>
      </x:c>
      <x:c r="M41" s="7" t="str">
        <x:v>Complete without facilitator; SEQ ≥5/7</x:v>
      </x:c>
      <x:c r="N41" s="7" t="str">
        <x:f>'Customer'!K20</x:f>
        <x:v>Not Tested</x:v>
      </x:c>
      <x:c r="O41" s="7" t="n">
        <x:f>'Customer'!L20</x:f>
        <x:v>0</x:v>
      </x:c>
      <x:c r="P41" s="7" t="n">
        <x:f>'Customer'!M20</x:f>
        <x:v>0</x:v>
      </x:c>
      <x:c r="Q41" s="7" t="n">
        <x:f>'Customer'!N20</x:f>
        <x:v>0</x:v>
      </x:c>
      <x:c r="R41" s="7" t="n">
        <x:f>'Customer'!O20</x:f>
        <x:v>0</x:v>
      </x:c>
      <x:c r="S41" s="7" t="n">
        <x:f>'Customer'!P20</x:f>
        <x:v>0</x:v>
      </x:c>
      <x:c r="T41" s="7" t="n">
        <x:f>'Customer'!Q20</x:f>
        <x:v>0</x:v>
      </x:c>
      <x:c r="U41" s="7" t="n">
        <x:f>'Customer'!R20</x:f>
        <x:v>0</x:v>
      </x:c>
      <x:c r="V41" s="7" t="str">
        <x:f>'Customer'!S20</x:f>
      </x:c>
      <x:c r="W41" s="7" t="str">
        <x:v>R01</x:v>
      </x:c>
      <x:c r="X41" s="7" t="n">
        <x:f>'Customer'!$B$5</x:f>
        <x:v>0</x:v>
      </x:c>
      <x:c r="Y41" s="48" t="n">
        <x:f>'Customer'!V20</x:f>
        <x:v>0</x:v>
      </x:c>
      <x:c r="Z41" s="7" t="n">
        <x:f>'Customer'!U20</x:f>
        <x:v>0</x:v>
      </x:c>
    </x:row>
    <x:row r="42">
      <x:c r="A42" s="7" t="str">
        <x:v>UX-041</x:v>
      </x:c>
      <x:c r="B42" s="7" t="str">
        <x:v>Customer</x:v>
      </x:c>
      <x:c r="C42" s="7" t="str">
        <x:v>Templates</x:v>
      </x:c>
      <x:c r="D42" s="7" t="str">
        <x:v>Use Template</x:v>
      </x:c>
      <x:c r="E42" s="7" t="str">
        <x:v>Apply a template without destroying current work</x:v>
      </x:c>
      <x:c r="F42" s="7" t="str">
        <x:v>Use Template should create a new design safely, explain effects, and avoid duplicate opening features.</x:v>
      </x:c>
      <x:c r="G42" s="7" t="str">
        <x:v>Error prevention; user control</x:v>
      </x:c>
      <x:c r="H42" s="7" t="str">
        <x:v>Flow creates new Canvas structures and has duplicate-opening guard.</x:v>
      </x:c>
      <x:c r="I42" s="7" t="str">
        <x:v>Partial</x:v>
      </x:c>
      <x:c r="J42" s="7" t="str">
        <x:v>Add pre-action summary and undo/revert after applying template.</x:v>
      </x:c>
      <x:c r="K42" s="7" t="str">
        <x:v>Task-based usability</x:v>
      </x:c>
      <x:c r="L42" s="7" t="str">
        <x:v>P0</x:v>
      </x:c>
      <x:c r="M42" s="7" t="str">
        <x:v>Complete without facilitator; SEQ ≥5/7</x:v>
      </x:c>
      <x:c r="N42" s="7" t="str">
        <x:f>'Customer'!K21</x:f>
        <x:v>Not Tested</x:v>
      </x:c>
      <x:c r="O42" s="7" t="n">
        <x:f>'Customer'!L21</x:f>
        <x:v>0</x:v>
      </x:c>
      <x:c r="P42" s="7" t="n">
        <x:f>'Customer'!M21</x:f>
        <x:v>0</x:v>
      </x:c>
      <x:c r="Q42" s="7" t="n">
        <x:f>'Customer'!N21</x:f>
        <x:v>0</x:v>
      </x:c>
      <x:c r="R42" s="7" t="n">
        <x:f>'Customer'!O21</x:f>
        <x:v>0</x:v>
      </x:c>
      <x:c r="S42" s="7" t="n">
        <x:f>'Customer'!P21</x:f>
        <x:v>0</x:v>
      </x:c>
      <x:c r="T42" s="7" t="n">
        <x:f>'Customer'!Q21</x:f>
        <x:v>0</x:v>
      </x:c>
      <x:c r="U42" s="7" t="n">
        <x:f>'Customer'!R21</x:f>
        <x:v>0</x:v>
      </x:c>
      <x:c r="V42" s="7" t="str">
        <x:f>'Customer'!S21</x:f>
      </x:c>
      <x:c r="W42" s="7" t="str">
        <x:v>R01</x:v>
      </x:c>
      <x:c r="X42" s="7" t="n">
        <x:f>'Customer'!$B$5</x:f>
        <x:v>0</x:v>
      </x:c>
      <x:c r="Y42" s="48" t="n">
        <x:f>'Customer'!V21</x:f>
        <x:v>0</x:v>
      </x:c>
      <x:c r="Z42" s="7" t="n">
        <x:f>'Customer'!U21</x:f>
        <x:v>0</x:v>
      </x:c>
    </x:row>
    <x:row r="43">
      <x:c r="A43" s="7" t="str">
        <x:v>UX-042</x:v>
      </x:c>
      <x:c r="B43" s="7" t="str">
        <x:v>Customer</x:v>
      </x:c>
      <x:c r="C43" s="7" t="str">
        <x:v>Templates</x:v>
      </x:c>
      <x:c r="D43" s="7" t="str">
        <x:v>Zero State</x:v>
      </x:c>
      <x:c r="E43" s="7" t="str">
        <x:v>Start when website has zero Canvas</x:v>
      </x:c>
      <x:c r="F43" s="7" t="str">
        <x:v>Empty state should explain the next step and offer a primary action.</x:v>
      </x:c>
      <x:c r="G43" s="7" t="str">
        <x:v>Recognition</x:v>
      </x:c>
      <x:c r="H43" s="7" t="str">
        <x:v>Zero-Canvas empty state and create action exist.</x:v>
      </x:c>
      <x:c r="I43" s="7" t="str">
        <x:v>Meets</x:v>
      </x:c>
      <x:c r="J43" s="7" t="str">
        <x:v>Use Customer language such as 'Start your website' rather than implementation terms.</x:v>
      </x:c>
      <x:c r="K43" s="7" t="str">
        <x:v>Task-based usability</x:v>
      </x:c>
      <x:c r="L43" s="7" t="str">
        <x:v>P1</x:v>
      </x:c>
      <x:c r="M43" s="7" t="str">
        <x:v>Complete without facilitator; SEQ ≥5/7</x:v>
      </x:c>
      <x:c r="N43" s="7" t="str">
        <x:f>'Customer'!K22</x:f>
        <x:v>Not Tested</x:v>
      </x:c>
      <x:c r="O43" s="7" t="n">
        <x:f>'Customer'!L22</x:f>
        <x:v>0</x:v>
      </x:c>
      <x:c r="P43" s="7" t="n">
        <x:f>'Customer'!M22</x:f>
        <x:v>0</x:v>
      </x:c>
      <x:c r="Q43" s="7" t="n">
        <x:f>'Customer'!N22</x:f>
        <x:v>0</x:v>
      </x:c>
      <x:c r="R43" s="7" t="n">
        <x:f>'Customer'!O22</x:f>
        <x:v>0</x:v>
      </x:c>
      <x:c r="S43" s="7" t="n">
        <x:f>'Customer'!P22</x:f>
        <x:v>0</x:v>
      </x:c>
      <x:c r="T43" s="7" t="n">
        <x:f>'Customer'!Q22</x:f>
        <x:v>0</x:v>
      </x:c>
      <x:c r="U43" s="7" t="n">
        <x:f>'Customer'!R22</x:f>
        <x:v>0</x:v>
      </x:c>
      <x:c r="V43" s="7" t="str">
        <x:f>'Customer'!S22</x:f>
      </x:c>
      <x:c r="W43" s="7" t="str">
        <x:v>R01</x:v>
      </x:c>
      <x:c r="X43" s="7" t="n">
        <x:f>'Customer'!$B$5</x:f>
        <x:v>0</x:v>
      </x:c>
      <x:c r="Y43" s="48" t="n">
        <x:f>'Customer'!V22</x:f>
        <x:v>0</x:v>
      </x:c>
      <x:c r="Z43" s="7" t="n">
        <x:f>'Customer'!U22</x:f>
        <x:v>0</x:v>
      </x:c>
    </x:row>
    <x:row r="44">
      <x:c r="A44" s="7" t="str">
        <x:v>UX-043</x:v>
      </x:c>
      <x:c r="B44" s="7" t="str">
        <x:v>Customer</x:v>
      </x:c>
      <x:c r="C44" s="7" t="str">
        <x:v>Editor</x:v>
      </x:c>
      <x:c r="D44" s="7" t="str">
        <x:v>Website Title</x:v>
      </x:c>
      <x:c r="E44" s="7" t="str">
        <x:v>Edit site identity</x:v>
      </x:c>
      <x:c r="F44" s="7" t="str">
        <x:v>Website title should be easy to find and clearly separated from internal Canvas names.</x:v>
      </x:c>
      <x:c r="G44" s="7" t="str">
        <x:v>Consistency; status visibility</x:v>
      </x:c>
      <x:c r="H44" s="7" t="str">
        <x:v>Website title exists in editor inspector and design cards.</x:v>
      </x:c>
      <x:c r="I44" s="7" t="str">
        <x:v>Meets</x:v>
      </x:c>
      <x:c r="J44" s="7" t="str">
        <x:v>Add inline save state and validation for empty title.</x:v>
      </x:c>
      <x:c r="K44" s="7" t="str">
        <x:v>Task-based usability</x:v>
      </x:c>
      <x:c r="L44" s="7" t="str">
        <x:v>P1</x:v>
      </x:c>
      <x:c r="M44" s="7" t="str">
        <x:v>Complete without facilitator; SEQ ≥5/7</x:v>
      </x:c>
      <x:c r="N44" s="7" t="str">
        <x:f>'Customer'!K23</x:f>
        <x:v>Not Tested</x:v>
      </x:c>
      <x:c r="O44" s="7" t="n">
        <x:f>'Customer'!L23</x:f>
        <x:v>0</x:v>
      </x:c>
      <x:c r="P44" s="7" t="n">
        <x:f>'Customer'!M23</x:f>
        <x:v>0</x:v>
      </x:c>
      <x:c r="Q44" s="7" t="n">
        <x:f>'Customer'!N23</x:f>
        <x:v>0</x:v>
      </x:c>
      <x:c r="R44" s="7" t="n">
        <x:f>'Customer'!O23</x:f>
        <x:v>0</x:v>
      </x:c>
      <x:c r="S44" s="7" t="n">
        <x:f>'Customer'!P23</x:f>
        <x:v>0</x:v>
      </x:c>
      <x:c r="T44" s="7" t="n">
        <x:f>'Customer'!Q23</x:f>
        <x:v>0</x:v>
      </x:c>
      <x:c r="U44" s="7" t="n">
        <x:f>'Customer'!R23</x:f>
        <x:v>0</x:v>
      </x:c>
      <x:c r="V44" s="7" t="str">
        <x:f>'Customer'!S23</x:f>
      </x:c>
      <x:c r="W44" s="7" t="str">
        <x:v>R01</x:v>
      </x:c>
      <x:c r="X44" s="7" t="n">
        <x:f>'Customer'!$B$5</x:f>
        <x:v>0</x:v>
      </x:c>
      <x:c r="Y44" s="48" t="n">
        <x:f>'Customer'!V23</x:f>
        <x:v>0</x:v>
      </x:c>
      <x:c r="Z44" s="7" t="n">
        <x:f>'Customer'!U23</x:f>
        <x:v>0</x:v>
      </x:c>
    </x:row>
    <x:row r="45">
      <x:c r="A45" s="7" t="str">
        <x:v>UX-044</x:v>
      </x:c>
      <x:c r="B45" s="7" t="str">
        <x:v>Customer</x:v>
      </x:c>
      <x:c r="C45" s="7" t="str">
        <x:v>Editor</x:v>
      </x:c>
      <x:c r="D45" s="7" t="str">
        <x:v>Public URL</x:v>
      </x:c>
      <x:c r="E45" s="7" t="str">
        <x:v>Choose and publish URL</x:v>
      </x:c>
      <x:c r="F45" s="7" t="str">
        <x:v>Slug field should show availability, constraints and published state.</x:v>
      </x:c>
      <x:c r="G45" s="7" t="str">
        <x:v>Error prevention</x:v>
      </x:c>
      <x:c r="H45" s="7" t="str">
        <x:v>Slug is editable; Settings claims URL ready after publish.</x:v>
      </x:c>
      <x:c r="I45" s="7" t="str">
        <x:v>Partial</x:v>
      </x:c>
      <x:c r="J45" s="7" t="str">
        <x:v>Perform real availability check before save and show conflicts inline.</x:v>
      </x:c>
      <x:c r="K45" s="7" t="str">
        <x:v>Task-based usability</x:v>
      </x:c>
      <x:c r="L45" s="7" t="str">
        <x:v>P0</x:v>
      </x:c>
      <x:c r="M45" s="7" t="str">
        <x:v>Complete without facilitator; SEQ ≥5/7</x:v>
      </x:c>
      <x:c r="N45" s="7" t="str">
        <x:f>'Customer'!K24</x:f>
        <x:v>Not Tested</x:v>
      </x:c>
      <x:c r="O45" s="7" t="n">
        <x:f>'Customer'!L24</x:f>
        <x:v>0</x:v>
      </x:c>
      <x:c r="P45" s="7" t="n">
        <x:f>'Customer'!M24</x:f>
        <x:v>0</x:v>
      </x:c>
      <x:c r="Q45" s="7" t="n">
        <x:f>'Customer'!N24</x:f>
        <x:v>0</x:v>
      </x:c>
      <x:c r="R45" s="7" t="n">
        <x:f>'Customer'!O24</x:f>
        <x:v>0</x:v>
      </x:c>
      <x:c r="S45" s="7" t="n">
        <x:f>'Customer'!P24</x:f>
        <x:v>0</x:v>
      </x:c>
      <x:c r="T45" s="7" t="n">
        <x:f>'Customer'!Q24</x:f>
        <x:v>0</x:v>
      </x:c>
      <x:c r="U45" s="7" t="n">
        <x:f>'Customer'!R24</x:f>
        <x:v>0</x:v>
      </x:c>
      <x:c r="V45" s="7" t="str">
        <x:f>'Customer'!S24</x:f>
      </x:c>
      <x:c r="W45" s="7" t="str">
        <x:v>R01</x:v>
      </x:c>
      <x:c r="X45" s="7" t="n">
        <x:f>'Customer'!$B$5</x:f>
        <x:v>0</x:v>
      </x:c>
      <x:c r="Y45" s="48" t="n">
        <x:f>'Customer'!V24</x:f>
        <x:v>0</x:v>
      </x:c>
      <x:c r="Z45" s="7" t="n">
        <x:f>'Customer'!U24</x:f>
        <x:v>0</x:v>
      </x:c>
    </x:row>
    <x:row r="46">
      <x:c r="A46" s="7" t="str">
        <x:v>UX-045</x:v>
      </x:c>
      <x:c r="B46" s="7" t="str">
        <x:v>Customer</x:v>
      </x:c>
      <x:c r="C46" s="7" t="str">
        <x:v>Editor</x:v>
      </x:c>
      <x:c r="D46" s="7" t="str">
        <x:v>Preview</x:v>
      </x:c>
      <x:c r="E46" s="7" t="str">
        <x:v>Compare editor and public result</x:v>
      </x:c>
      <x:c r="F46" s="7" t="str">
        <x:v>Preview should be WYSIWYG across desktop/mobile and not mutate saved state.</x:v>
      </x:c>
      <x:c r="G46" s="7" t="str">
        <x:v>Consistency; system feedback</x:v>
      </x:c>
      <x:c r="H46" s="7" t="str">
        <x:v>Editor supports desktop/mobile switch and preview modal.</x:v>
      </x:c>
      <x:c r="I46" s="7" t="str">
        <x:v>Needs User Test</x:v>
      </x:c>
      <x:c r="J46" s="7" t="str">
        <x:v>Run pixel/spacing parity test across representative templates and breakpoints.</x:v>
      </x:c>
      <x:c r="K46" s="7" t="str">
        <x:v>Visual regression + task</x:v>
      </x:c>
      <x:c r="L46" s="7" t="str">
        <x:v>P0</x:v>
      </x:c>
      <x:c r="M46" s="7" t="str">
        <x:v>Complete without facilitator; SEQ ≥5/7</x:v>
      </x:c>
      <x:c r="N46" s="7" t="str">
        <x:f>'Customer'!K25</x:f>
        <x:v>Not Tested</x:v>
      </x:c>
      <x:c r="O46" s="7" t="n">
        <x:f>'Customer'!L25</x:f>
        <x:v>0</x:v>
      </x:c>
      <x:c r="P46" s="7" t="n">
        <x:f>'Customer'!M25</x:f>
        <x:v>0</x:v>
      </x:c>
      <x:c r="Q46" s="7" t="n">
        <x:f>'Customer'!N25</x:f>
        <x:v>0</x:v>
      </x:c>
      <x:c r="R46" s="7" t="n">
        <x:f>'Customer'!O25</x:f>
        <x:v>0</x:v>
      </x:c>
      <x:c r="S46" s="7" t="n">
        <x:f>'Customer'!P25</x:f>
        <x:v>0</x:v>
      </x:c>
      <x:c r="T46" s="7" t="n">
        <x:f>'Customer'!Q25</x:f>
        <x:v>0</x:v>
      </x:c>
      <x:c r="U46" s="7" t="n">
        <x:f>'Customer'!R25</x:f>
        <x:v>0</x:v>
      </x:c>
      <x:c r="V46" s="7" t="str">
        <x:f>'Customer'!S25</x:f>
      </x:c>
      <x:c r="W46" s="7" t="str">
        <x:v>R01</x:v>
      </x:c>
      <x:c r="X46" s="7" t="n">
        <x:f>'Customer'!$B$5</x:f>
        <x:v>0</x:v>
      </x:c>
      <x:c r="Y46" s="48" t="n">
        <x:f>'Customer'!V25</x:f>
        <x:v>0</x:v>
      </x:c>
      <x:c r="Z46" s="7" t="n">
        <x:f>'Customer'!U25</x:f>
        <x:v>0</x:v>
      </x:c>
    </x:row>
    <x:row r="47">
      <x:c r="A47" s="7" t="str">
        <x:v>UX-046</x:v>
      </x:c>
      <x:c r="B47" s="7" t="str">
        <x:v>Customer</x:v>
      </x:c>
      <x:c r="C47" s="7" t="str">
        <x:v>Editor</x:v>
      </x:c>
      <x:c r="D47" s="7" t="str">
        <x:v>Save</x:v>
      </x:c>
      <x:c r="E47" s="7" t="str">
        <x:v>Know whether changes are saved/published</x:v>
      </x:c>
      <x:c r="F47" s="7" t="str">
        <x:v>Save state should distinguish draft, saved, publishing and published states.</x:v>
      </x:c>
      <x:c r="G47" s="7" t="str">
        <x:v>Visibility; user control</x:v>
      </x:c>
      <x:c r="H47" s="7" t="str">
        <x:v>Site mode uses Save &amp; Publish; button shows Saved after operation.</x:v>
      </x:c>
      <x:c r="I47" s="7" t="str">
        <x:v>Partial</x:v>
      </x:c>
      <x:c r="J47" s="7" t="str">
        <x:v>Separate Save Draft from Publish for Customer if iterative editing is expected.</x:v>
      </x:c>
      <x:c r="K47" s="7" t="str">
        <x:v>Task-based usability</x:v>
      </x:c>
      <x:c r="L47" s="7" t="str">
        <x:v>P1</x:v>
      </x:c>
      <x:c r="M47" s="7" t="str">
        <x:v>Complete without facilitator; SEQ ≥5/7</x:v>
      </x:c>
      <x:c r="N47" s="7" t="str">
        <x:f>'Customer'!K26</x:f>
        <x:v>Not Tested</x:v>
      </x:c>
      <x:c r="O47" s="7" t="n">
        <x:f>'Customer'!L26</x:f>
        <x:v>0</x:v>
      </x:c>
      <x:c r="P47" s="7" t="n">
        <x:f>'Customer'!M26</x:f>
        <x:v>0</x:v>
      </x:c>
      <x:c r="Q47" s="7" t="n">
        <x:f>'Customer'!N26</x:f>
        <x:v>0</x:v>
      </x:c>
      <x:c r="R47" s="7" t="n">
        <x:f>'Customer'!O26</x:f>
        <x:v>0</x:v>
      </x:c>
      <x:c r="S47" s="7" t="n">
        <x:f>'Customer'!P26</x:f>
        <x:v>0</x:v>
      </x:c>
      <x:c r="T47" s="7" t="n">
        <x:f>'Customer'!Q26</x:f>
        <x:v>0</x:v>
      </x:c>
      <x:c r="U47" s="7" t="n">
        <x:f>'Customer'!R26</x:f>
        <x:v>0</x:v>
      </x:c>
      <x:c r="V47" s="7" t="str">
        <x:f>'Customer'!S26</x:f>
      </x:c>
      <x:c r="W47" s="7" t="str">
        <x:v>R01</x:v>
      </x:c>
      <x:c r="X47" s="7" t="n">
        <x:f>'Customer'!$B$5</x:f>
        <x:v>0</x:v>
      </x:c>
      <x:c r="Y47" s="48" t="n">
        <x:f>'Customer'!V26</x:f>
        <x:v>0</x:v>
      </x:c>
      <x:c r="Z47" s="7" t="n">
        <x:f>'Customer'!U26</x:f>
        <x:v>0</x:v>
      </x:c>
    </x:row>
    <x:row r="48">
      <x:c r="A48" s="7" t="str">
        <x:v>UX-047</x:v>
      </x:c>
      <x:c r="B48" s="7" t="str">
        <x:v>Customer</x:v>
      </x:c>
      <x:c r="C48" s="7" t="str">
        <x:v>Editor</x:v>
      </x:c>
      <x:c r="D48" s="7" t="str">
        <x:v>Autosave &amp; Recovery</x:v>
      </x:c>
      <x:c r="E48" s="7" t="str">
        <x:v>Avoid losing work during long editing sessions</x:v>
      </x:c>
      <x:c r="F48" s="7" t="str">
        <x:v>Professional authoring should autosave and allow restoring prior revisions after errors.</x:v>
      </x:c>
      <x:c r="G48" s="7" t="str">
        <x:v>Error recovery; authoring safety</x:v>
      </x:c>
      <x:c r="H48" s="7" t="str">
        <x:v>Current editor relies on manual save plus Leave Save/Discard prompt; no revision history.</x:v>
      </x:c>
      <x:c r="I48" s="7" t="str">
        <x:v>Gap</x:v>
      </x:c>
      <x:c r="J48" s="7" t="str">
        <x:v>Add autosave snapshots, undo/redo and revision history for site/template content.</x:v>
      </x:c>
      <x:c r="K48" s="7" t="str">
        <x:v>Task-based usability</x:v>
      </x:c>
      <x:c r="L48" s="7" t="str">
        <x:v>P0</x:v>
      </x:c>
      <x:c r="M48" s="7" t="str">
        <x:v>Complete without facilitator; SEQ ≥5/7</x:v>
      </x:c>
      <x:c r="N48" s="7" t="str">
        <x:f>'Customer'!K27</x:f>
        <x:v>Not Tested</x:v>
      </x:c>
      <x:c r="O48" s="7" t="n">
        <x:f>'Customer'!L27</x:f>
        <x:v>0</x:v>
      </x:c>
      <x:c r="P48" s="7" t="n">
        <x:f>'Customer'!M27</x:f>
        <x:v>0</x:v>
      </x:c>
      <x:c r="Q48" s="7" t="n">
        <x:f>'Customer'!N27</x:f>
        <x:v>0</x:v>
      </x:c>
      <x:c r="R48" s="7" t="n">
        <x:f>'Customer'!O27</x:f>
        <x:v>0</x:v>
      </x:c>
      <x:c r="S48" s="7" t="n">
        <x:f>'Customer'!P27</x:f>
        <x:v>0</x:v>
      </x:c>
      <x:c r="T48" s="7" t="n">
        <x:f>'Customer'!Q27</x:f>
        <x:v>0</x:v>
      </x:c>
      <x:c r="U48" s="7" t="n">
        <x:f>'Customer'!R27</x:f>
        <x:v>0</x:v>
      </x:c>
      <x:c r="V48" s="7" t="str">
        <x:f>'Customer'!S27</x:f>
      </x:c>
      <x:c r="W48" s="7" t="str">
        <x:v>R13,R14,R01</x:v>
      </x:c>
      <x:c r="X48" s="7" t="n">
        <x:f>'Customer'!$B$5</x:f>
        <x:v>0</x:v>
      </x:c>
      <x:c r="Y48" s="48" t="n">
        <x:f>'Customer'!V27</x:f>
        <x:v>0</x:v>
      </x:c>
      <x:c r="Z48" s="7" t="n">
        <x:f>'Customer'!U27</x:f>
        <x:v>0</x:v>
      </x:c>
    </x:row>
    <x:row r="49">
      <x:c r="A49" s="7" t="str">
        <x:v>UX-048</x:v>
      </x:c>
      <x:c r="B49" s="7" t="str">
        <x:v>Customer</x:v>
      </x:c>
      <x:c r="C49" s="7" t="str">
        <x:v>Editor</x:v>
      </x:c>
      <x:c r="D49" s="7" t="str">
        <x:v>Unsaved Changes</x:v>
      </x:c>
      <x:c r="E49" s="7" t="str">
        <x:v>Leave editor intentionally</x:v>
      </x:c>
      <x:c r="F49" s="7" t="str">
        <x:v>Leaving with unsaved changes should offer Save, Discard and Cancel, with true discard behavior.</x:v>
      </x:c>
      <x:c r="G49" s="7" t="str">
        <x:v>User control</x:v>
      </x:c>
      <x:c r="H49" s="7" t="str">
        <x:v>Leave modal exists from previous QA hardening.</x:v>
      </x:c>
      <x:c r="I49" s="7" t="str">
        <x:v>Meets</x:v>
      </x:c>
      <x:c r="J49" s="7" t="str">
        <x:v>Retest true state restoration after Discard on server-backed content.</x:v>
      </x:c>
      <x:c r="K49" s="7" t="str">
        <x:v>Task-based usability</x:v>
      </x:c>
      <x:c r="L49" s="7" t="str">
        <x:v>P1</x:v>
      </x:c>
      <x:c r="M49" s="7" t="str">
        <x:v>Complete without facilitator; SEQ ≥5/7</x:v>
      </x:c>
      <x:c r="N49" s="7" t="str">
        <x:f>'Customer'!K28</x:f>
        <x:v>Not Tested</x:v>
      </x:c>
      <x:c r="O49" s="7" t="n">
        <x:f>'Customer'!L28</x:f>
        <x:v>0</x:v>
      </x:c>
      <x:c r="P49" s="7" t="n">
        <x:f>'Customer'!M28</x:f>
        <x:v>0</x:v>
      </x:c>
      <x:c r="Q49" s="7" t="n">
        <x:f>'Customer'!N28</x:f>
        <x:v>0</x:v>
      </x:c>
      <x:c r="R49" s="7" t="n">
        <x:f>'Customer'!O28</x:f>
        <x:v>0</x:v>
      </x:c>
      <x:c r="S49" s="7" t="n">
        <x:f>'Customer'!P28</x:f>
        <x:v>0</x:v>
      </x:c>
      <x:c r="T49" s="7" t="n">
        <x:f>'Customer'!Q28</x:f>
        <x:v>0</x:v>
      </x:c>
      <x:c r="U49" s="7" t="n">
        <x:f>'Customer'!R28</x:f>
        <x:v>0</x:v>
      </x:c>
      <x:c r="V49" s="7" t="str">
        <x:f>'Customer'!S28</x:f>
      </x:c>
      <x:c r="W49" s="7" t="str">
        <x:v>R01</x:v>
      </x:c>
      <x:c r="X49" s="7" t="n">
        <x:f>'Customer'!$B$5</x:f>
        <x:v>0</x:v>
      </x:c>
      <x:c r="Y49" s="48" t="n">
        <x:f>'Customer'!V28</x:f>
        <x:v>0</x:v>
      </x:c>
      <x:c r="Z49" s="7" t="n">
        <x:f>'Customer'!U28</x:f>
        <x:v>0</x:v>
      </x:c>
    </x:row>
    <x:row r="50">
      <x:c r="A50" s="7" t="str">
        <x:v>UX-049</x:v>
      </x:c>
      <x:c r="B50" s="7" t="str">
        <x:v>Customer</x:v>
      </x:c>
      <x:c r="C50" s="7" t="str">
        <x:v>Editor</x:v>
      </x:c>
      <x:c r="D50" s="7" t="str">
        <x:v>Columns</x:v>
      </x:c>
      <x:c r="E50" s="7" t="str">
        <x:v>Configure 1–4 columns</x:v>
      </x:c>
      <x:c r="F50" s="7" t="str">
        <x:v>Column count should be understandable and not lose feature content unexpectedly.</x:v>
      </x:c>
      <x:c r="G50" s="7" t="str">
        <x:v>Error prevention</x:v>
      </x:c>
      <x:c r="H50" s="7" t="str">
        <x:v>1–4 column control exists; removed-column features are moved.</x:v>
      </x:c>
      <x:c r="I50" s="7" t="str">
        <x:v>Partial</x:v>
      </x:c>
      <x:c r="J50" s="7" t="str">
        <x:v>Show explicit warning/preview when reducing columns and where features will move.</x:v>
      </x:c>
      <x:c r="K50" s="7" t="str">
        <x:v>Task-based usability</x:v>
      </x:c>
      <x:c r="L50" s="7" t="str">
        <x:v>P1</x:v>
      </x:c>
      <x:c r="M50" s="7" t="str">
        <x:v>Complete without facilitator; SEQ ≥5/7</x:v>
      </x:c>
      <x:c r="N50" s="7" t="str">
        <x:f>'Customer'!K29</x:f>
        <x:v>Not Tested</x:v>
      </x:c>
      <x:c r="O50" s="7" t="n">
        <x:f>'Customer'!L29</x:f>
        <x:v>0</x:v>
      </x:c>
      <x:c r="P50" s="7" t="n">
        <x:f>'Customer'!M29</x:f>
        <x:v>0</x:v>
      </x:c>
      <x:c r="Q50" s="7" t="n">
        <x:f>'Customer'!N29</x:f>
        <x:v>0</x:v>
      </x:c>
      <x:c r="R50" s="7" t="n">
        <x:f>'Customer'!O29</x:f>
        <x:v>0</x:v>
      </x:c>
      <x:c r="S50" s="7" t="n">
        <x:f>'Customer'!P29</x:f>
        <x:v>0</x:v>
      </x:c>
      <x:c r="T50" s="7" t="n">
        <x:f>'Customer'!Q29</x:f>
        <x:v>0</x:v>
      </x:c>
      <x:c r="U50" s="7" t="n">
        <x:f>'Customer'!R29</x:f>
        <x:v>0</x:v>
      </x:c>
      <x:c r="V50" s="7" t="str">
        <x:f>'Customer'!S29</x:f>
      </x:c>
      <x:c r="W50" s="7" t="str">
        <x:v>R01</x:v>
      </x:c>
      <x:c r="X50" s="7" t="n">
        <x:f>'Customer'!$B$5</x:f>
        <x:v>0</x:v>
      </x:c>
      <x:c r="Y50" s="48" t="n">
        <x:f>'Customer'!V29</x:f>
        <x:v>0</x:v>
      </x:c>
      <x:c r="Z50" s="7" t="n">
        <x:f>'Customer'!U29</x:f>
        <x:v>0</x:v>
      </x:c>
    </x:row>
    <x:row r="51">
      <x:c r="A51" s="7" t="str">
        <x:v>UX-050</x:v>
      </x:c>
      <x:c r="B51" s="7" t="str">
        <x:v>Customer</x:v>
      </x:c>
      <x:c r="C51" s="7" t="str">
        <x:v>Editor</x:v>
      </x:c>
      <x:c r="D51" s="7" t="str">
        <x:v>Fixed Layouts</x:v>
      </x:c>
      <x:c r="E51" s="7" t="str">
        <x:v>Use Fixed Left/Right</x:v>
      </x:c>
      <x:c r="F51" s="7" t="str">
        <x:v>Layout label and preview should explain which side stays fixed and behave consistently on mobile.</x:v>
      </x:c>
      <x:c r="G51" s="7" t="str">
        <x:v>Match real world</x:v>
      </x:c>
      <x:c r="H51" s="7" t="str">
        <x:v>Fixed Left and Fixed Right are available.</x:v>
      </x:c>
      <x:c r="I51" s="7" t="str">
        <x:v>Needs User Test</x:v>
      </x:c>
      <x:c r="J51" s="7" t="str">
        <x:v>Test sticky behavior, content overflow and mobile fallback.</x:v>
      </x:c>
      <x:c r="K51" s="7" t="str">
        <x:v>Task-based usability</x:v>
      </x:c>
      <x:c r="L51" s="7" t="str">
        <x:v>P1</x:v>
      </x:c>
      <x:c r="M51" s="7" t="str">
        <x:v>Complete without facilitator; SEQ ≥5/7</x:v>
      </x:c>
      <x:c r="N51" s="7" t="str">
        <x:f>'Customer'!K30</x:f>
        <x:v>Not Tested</x:v>
      </x:c>
      <x:c r="O51" s="7" t="n">
        <x:f>'Customer'!L30</x:f>
        <x:v>0</x:v>
      </x:c>
      <x:c r="P51" s="7" t="n">
        <x:f>'Customer'!M30</x:f>
        <x:v>0</x:v>
      </x:c>
      <x:c r="Q51" s="7" t="n">
        <x:f>'Customer'!N30</x:f>
        <x:v>0</x:v>
      </x:c>
      <x:c r="R51" s="7" t="n">
        <x:f>'Customer'!O30</x:f>
        <x:v>0</x:v>
      </x:c>
      <x:c r="S51" s="7" t="n">
        <x:f>'Customer'!P30</x:f>
        <x:v>0</x:v>
      </x:c>
      <x:c r="T51" s="7" t="n">
        <x:f>'Customer'!Q30</x:f>
        <x:v>0</x:v>
      </x:c>
      <x:c r="U51" s="7" t="n">
        <x:f>'Customer'!R30</x:f>
        <x:v>0</x:v>
      </x:c>
      <x:c r="V51" s="7" t="str">
        <x:f>'Customer'!S30</x:f>
      </x:c>
      <x:c r="W51" s="7" t="str">
        <x:v>R01</x:v>
      </x:c>
      <x:c r="X51" s="7" t="n">
        <x:f>'Customer'!$B$5</x:f>
        <x:v>0</x:v>
      </x:c>
      <x:c r="Y51" s="48" t="n">
        <x:f>'Customer'!V30</x:f>
        <x:v>0</x:v>
      </x:c>
      <x:c r="Z51" s="7" t="n">
        <x:f>'Customer'!U30</x:f>
        <x:v>0</x:v>
      </x:c>
    </x:row>
    <x:row r="52">
      <x:c r="A52" s="7" t="str">
        <x:v>UX-051</x:v>
      </x:c>
      <x:c r="B52" s="7" t="str">
        <x:v>Customer</x:v>
      </x:c>
      <x:c r="C52" s="7" t="str">
        <x:v>Editor</x:v>
      </x:c>
      <x:c r="D52" s="7" t="str">
        <x:v>Background</x:v>
      </x:c>
      <x:c r="E52" s="7" t="str">
        <x:v>Use solid/gradient/image/effects</x:v>
      </x:c>
      <x:c r="F52" s="7" t="str">
        <x:v>Background controls should be grouped logically and offer reset/none states.</x:v>
      </x:c>
      <x:c r="G52" s="7" t="str">
        <x:v>User control</x:v>
      </x:c>
      <x:c r="H52" s="7" t="str">
        <x:v>Solid, gradient, image, repeat and motion options exist.</x:v>
      </x:c>
      <x:c r="I52" s="7" t="str">
        <x:v>Partial</x:v>
      </x:c>
      <x:c r="J52" s="7" t="str">
        <x:v>Add clear Reset Background and reduced-motion preview.</x:v>
      </x:c>
      <x:c r="K52" s="7" t="str">
        <x:v>Task-based usability</x:v>
      </x:c>
      <x:c r="L52" s="7" t="str">
        <x:v>P1</x:v>
      </x:c>
      <x:c r="M52" s="7" t="str">
        <x:v>Complete without facilitator; SEQ ≥5/7</x:v>
      </x:c>
      <x:c r="N52" s="7" t="str">
        <x:f>'Customer'!K31</x:f>
        <x:v>Not Tested</x:v>
      </x:c>
      <x:c r="O52" s="7" t="n">
        <x:f>'Customer'!L31</x:f>
        <x:v>0</x:v>
      </x:c>
      <x:c r="P52" s="7" t="n">
        <x:f>'Customer'!M31</x:f>
        <x:v>0</x:v>
      </x:c>
      <x:c r="Q52" s="7" t="n">
        <x:f>'Customer'!N31</x:f>
        <x:v>0</x:v>
      </x:c>
      <x:c r="R52" s="7" t="n">
        <x:f>'Customer'!O31</x:f>
        <x:v>0</x:v>
      </x:c>
      <x:c r="S52" s="7" t="n">
        <x:f>'Customer'!P31</x:f>
        <x:v>0</x:v>
      </x:c>
      <x:c r="T52" s="7" t="n">
        <x:f>'Customer'!Q31</x:f>
        <x:v>0</x:v>
      </x:c>
      <x:c r="U52" s="7" t="n">
        <x:f>'Customer'!R31</x:f>
        <x:v>0</x:v>
      </x:c>
      <x:c r="V52" s="7" t="str">
        <x:f>'Customer'!S31</x:f>
      </x:c>
      <x:c r="W52" s="7" t="str">
        <x:v>R01,R03</x:v>
      </x:c>
      <x:c r="X52" s="7" t="n">
        <x:f>'Customer'!$B$5</x:f>
        <x:v>0</x:v>
      </x:c>
      <x:c r="Y52" s="48" t="n">
        <x:f>'Customer'!V31</x:f>
        <x:v>0</x:v>
      </x:c>
      <x:c r="Z52" s="7" t="n">
        <x:f>'Customer'!U31</x:f>
        <x:v>0</x:v>
      </x:c>
    </x:row>
    <x:row r="53">
      <x:c r="A53" s="7" t="str">
        <x:v>UX-052</x:v>
      </x:c>
      <x:c r="B53" s="7" t="str">
        <x:v>Customer</x:v>
      </x:c>
      <x:c r="C53" s="7" t="str">
        <x:v>Editor</x:v>
      </x:c>
      <x:c r="D53" s="7" t="str">
        <x:v>Buka Undangan</x:v>
      </x:c>
      <x:c r="E53" s="7" t="str">
        <x:v>Configure invitation opening</x:v>
      </x:c>
      <x:c r="F53" s="7" t="str">
        <x:v>Opening feature should be unique, restricted to first Canvas and editable without hidden defaults.</x:v>
      </x:c>
      <x:c r="G53" s="7" t="str">
        <x:v>Error prevention</x:v>
      </x:c>
      <x:c r="H53" s="7" t="str">
        <x:v>Rules and editable content are implemented.</x:v>
      </x:c>
      <x:c r="I53" s="7" t="str">
        <x:v>Meets</x:v>
      </x:c>
      <x:c r="J53" s="7" t="str">
        <x:v>Test that invalid drag/move attempts explain why they are blocked.</x:v>
      </x:c>
      <x:c r="K53" s="7" t="str">
        <x:v>Task-based usability</x:v>
      </x:c>
      <x:c r="L53" s="7" t="str">
        <x:v>P1</x:v>
      </x:c>
      <x:c r="M53" s="7" t="str">
        <x:v>Complete without facilitator; SEQ ≥5/7</x:v>
      </x:c>
      <x:c r="N53" s="7" t="str">
        <x:f>'Customer'!K32</x:f>
        <x:v>Not Tested</x:v>
      </x:c>
      <x:c r="O53" s="7" t="n">
        <x:f>'Customer'!L32</x:f>
        <x:v>0</x:v>
      </x:c>
      <x:c r="P53" s="7" t="n">
        <x:f>'Customer'!M32</x:f>
        <x:v>0</x:v>
      </x:c>
      <x:c r="Q53" s="7" t="n">
        <x:f>'Customer'!N32</x:f>
        <x:v>0</x:v>
      </x:c>
      <x:c r="R53" s="7" t="n">
        <x:f>'Customer'!O32</x:f>
        <x:v>0</x:v>
      </x:c>
      <x:c r="S53" s="7" t="n">
        <x:f>'Customer'!P32</x:f>
        <x:v>0</x:v>
      </x:c>
      <x:c r="T53" s="7" t="n">
        <x:f>'Customer'!Q32</x:f>
        <x:v>0</x:v>
      </x:c>
      <x:c r="U53" s="7" t="n">
        <x:f>'Customer'!R32</x:f>
        <x:v>0</x:v>
      </x:c>
      <x:c r="V53" s="7" t="str">
        <x:f>'Customer'!S32</x:f>
      </x:c>
      <x:c r="W53" s="7" t="str">
        <x:v>R01</x:v>
      </x:c>
      <x:c r="X53" s="7" t="n">
        <x:f>'Customer'!$B$5</x:f>
        <x:v>0</x:v>
      </x:c>
      <x:c r="Y53" s="48" t="n">
        <x:f>'Customer'!V32</x:f>
        <x:v>0</x:v>
      </x:c>
      <x:c r="Z53" s="7" t="n">
        <x:f>'Customer'!U32</x:f>
        <x:v>0</x:v>
      </x:c>
    </x:row>
    <x:row r="54">
      <x:c r="A54" s="7" t="str">
        <x:v>UX-053</x:v>
      </x:c>
      <x:c r="B54" s="7" t="str">
        <x:v>Customer</x:v>
      </x:c>
      <x:c r="C54" s="7" t="str">
        <x:v>Editor</x:v>
      </x:c>
      <x:c r="D54" s="7" t="str">
        <x:v>Gallery</x:v>
      </x:c>
      <x:c r="E54" s="7" t="str">
        <x:v>Add/delete/reorder photos</x:v>
      </x:c>
      <x:c r="F54" s="7" t="str">
        <x:v>Gallery management should show selected files, order, delete action, upload progress and error state.</x:v>
      </x:c>
      <x:c r="G54" s="7" t="str">
        <x:v>Visibility; accessibility</x:v>
      </x:c>
      <x:c r="H54" s="7" t="str">
        <x:v>Add/delete and carousel/full-width controls exist.</x:v>
      </x:c>
      <x:c r="I54" s="7" t="str">
        <x:v>Partial</x:v>
      </x:c>
      <x:c r="J54" s="7" t="str">
        <x:v>Add explicit reorder UX, upload progress and per-image alt text.</x:v>
      </x:c>
      <x:c r="K54" s="7" t="str">
        <x:v>Task-based usability</x:v>
      </x:c>
      <x:c r="L54" s="7" t="str">
        <x:v>P1</x:v>
      </x:c>
      <x:c r="M54" s="7" t="str">
        <x:v>Complete without facilitator; SEQ ≥5/7</x:v>
      </x:c>
      <x:c r="N54" s="7" t="str">
        <x:f>'Customer'!K33</x:f>
        <x:v>Not Tested</x:v>
      </x:c>
      <x:c r="O54" s="7" t="n">
        <x:f>'Customer'!L33</x:f>
        <x:v>0</x:v>
      </x:c>
      <x:c r="P54" s="7" t="n">
        <x:f>'Customer'!M33</x:f>
        <x:v>0</x:v>
      </x:c>
      <x:c r="Q54" s="7" t="n">
        <x:f>'Customer'!N33</x:f>
        <x:v>0</x:v>
      </x:c>
      <x:c r="R54" s="7" t="n">
        <x:f>'Customer'!O33</x:f>
        <x:v>0</x:v>
      </x:c>
      <x:c r="S54" s="7" t="n">
        <x:f>'Customer'!P33</x:f>
        <x:v>0</x:v>
      </x:c>
      <x:c r="T54" s="7" t="n">
        <x:f>'Customer'!Q33</x:f>
        <x:v>0</x:v>
      </x:c>
      <x:c r="U54" s="7" t="n">
        <x:f>'Customer'!R33</x:f>
        <x:v>0</x:v>
      </x:c>
      <x:c r="V54" s="7" t="str">
        <x:f>'Customer'!S33</x:f>
      </x:c>
      <x:c r="W54" s="7" t="str">
        <x:v>R01,R03</x:v>
      </x:c>
      <x:c r="X54" s="7" t="n">
        <x:f>'Customer'!$B$5</x:f>
        <x:v>0</x:v>
      </x:c>
      <x:c r="Y54" s="48" t="n">
        <x:f>'Customer'!V33</x:f>
        <x:v>0</x:v>
      </x:c>
      <x:c r="Z54" s="7" t="n">
        <x:f>'Customer'!U33</x:f>
        <x:v>0</x:v>
      </x:c>
    </x:row>
    <x:row r="55">
      <x:c r="A55" s="7" t="str">
        <x:v>UX-054</x:v>
      </x:c>
      <x:c r="B55" s="7" t="str">
        <x:v>Customer</x:v>
      </x:c>
      <x:c r="C55" s="7" t="str">
        <x:v>Editor</x:v>
      </x:c>
      <x:c r="D55" s="7" t="str">
        <x:v>Sound</x:v>
      </x:c>
      <x:c r="E55" s="7" t="str">
        <x:v>Choose/upload and preview sound</x:v>
      </x:c>
      <x:c r="F55" s="7" t="str">
        <x:v>Customer should be able to preview, replace and remove sound with understandable file limits.</x:v>
      </x:c>
      <x:c r="G55" s="7" t="str">
        <x:v>Visibility; user control</x:v>
      </x:c>
      <x:c r="H55" s="7" t="str">
        <x:v>Sound feature supports upload/library and fixed public disc player.</x:v>
      </x:c>
      <x:c r="I55" s="7" t="str">
        <x:v>Partial</x:v>
      </x:c>
      <x:c r="J55" s="7" t="str">
        <x:v>Add waveform/duration/filename and upload progress; clarify browser autoplay limits.</x:v>
      </x:c>
      <x:c r="K55" s="7" t="str">
        <x:v>Task-based usability</x:v>
      </x:c>
      <x:c r="L55" s="7" t="str">
        <x:v>P1</x:v>
      </x:c>
      <x:c r="M55" s="7" t="str">
        <x:v>Complete without facilitator; SEQ ≥5/7</x:v>
      </x:c>
      <x:c r="N55" s="7" t="str">
        <x:f>'Customer'!K34</x:f>
        <x:v>Not Tested</x:v>
      </x:c>
      <x:c r="O55" s="7" t="n">
        <x:f>'Customer'!L34</x:f>
        <x:v>0</x:v>
      </x:c>
      <x:c r="P55" s="7" t="n">
        <x:f>'Customer'!M34</x:f>
        <x:v>0</x:v>
      </x:c>
      <x:c r="Q55" s="7" t="n">
        <x:f>'Customer'!N34</x:f>
        <x:v>0</x:v>
      </x:c>
      <x:c r="R55" s="7" t="n">
        <x:f>'Customer'!O34</x:f>
        <x:v>0</x:v>
      </x:c>
      <x:c r="S55" s="7" t="n">
        <x:f>'Customer'!P34</x:f>
        <x:v>0</x:v>
      </x:c>
      <x:c r="T55" s="7" t="n">
        <x:f>'Customer'!Q34</x:f>
        <x:v>0</x:v>
      </x:c>
      <x:c r="U55" s="7" t="n">
        <x:f>'Customer'!R34</x:f>
        <x:v>0</x:v>
      </x:c>
      <x:c r="V55" s="7" t="str">
        <x:f>'Customer'!S34</x:f>
      </x:c>
      <x:c r="W55" s="7" t="str">
        <x:v>R01</x:v>
      </x:c>
      <x:c r="X55" s="7" t="n">
        <x:f>'Customer'!$B$5</x:f>
        <x:v>0</x:v>
      </x:c>
      <x:c r="Y55" s="48" t="n">
        <x:f>'Customer'!V34</x:f>
        <x:v>0</x:v>
      </x:c>
      <x:c r="Z55" s="7" t="n">
        <x:f>'Customer'!U34</x:f>
        <x:v>0</x:v>
      </x:c>
    </x:row>
    <x:row r="56">
      <x:c r="A56" s="7" t="str">
        <x:v>UX-055</x:v>
      </x:c>
      <x:c r="B56" s="7" t="str">
        <x:v>Customer</x:v>
      </x:c>
      <x:c r="C56" s="7" t="str">
        <x:v>Site Pages</x:v>
      </x:c>
      <x:c r="D56" s="7" t="str">
        <x:v>List Undangan</x:v>
      </x:c>
      <x:c r="E56" s="7" t="str">
        <x:v>Add invitee manually</x:v>
      </x:c>
      <x:c r="F56" s="7" t="str">
        <x:v>Guest management should use wedding-language labels, clear required fields and visible save result.</x:v>
      </x:c>
      <x:c r="G56" s="7" t="str">
        <x:v>Match real world</x:v>
      </x:c>
      <x:c r="H56" s="7" t="str">
        <x:v>List Undangan exists in Site Pages.</x:v>
      </x:c>
      <x:c r="I56" s="7" t="str">
        <x:v>Meets</x:v>
      </x:c>
      <x:c r="J56" s="7" t="str">
        <x:v>Test duplicate guest handling and large-list performance.</x:v>
      </x:c>
      <x:c r="K56" s="7" t="str">
        <x:v>Task-based usability</x:v>
      </x:c>
      <x:c r="L56" s="7" t="str">
        <x:v>P1</x:v>
      </x:c>
      <x:c r="M56" s="7" t="str">
        <x:v>Complete without facilitator; SEQ ≥5/7</x:v>
      </x:c>
      <x:c r="N56" s="7" t="str">
        <x:f>'Customer'!K35</x:f>
        <x:v>Not Tested</x:v>
      </x:c>
      <x:c r="O56" s="7" t="n">
        <x:f>'Customer'!L35</x:f>
        <x:v>0</x:v>
      </x:c>
      <x:c r="P56" s="7" t="n">
        <x:f>'Customer'!M35</x:f>
        <x:v>0</x:v>
      </x:c>
      <x:c r="Q56" s="7" t="n">
        <x:f>'Customer'!N35</x:f>
        <x:v>0</x:v>
      </x:c>
      <x:c r="R56" s="7" t="n">
        <x:f>'Customer'!O35</x:f>
        <x:v>0</x:v>
      </x:c>
      <x:c r="S56" s="7" t="n">
        <x:f>'Customer'!P35</x:f>
        <x:v>0</x:v>
      </x:c>
      <x:c r="T56" s="7" t="n">
        <x:f>'Customer'!Q35</x:f>
        <x:v>0</x:v>
      </x:c>
      <x:c r="U56" s="7" t="n">
        <x:f>'Customer'!R35</x:f>
        <x:v>0</x:v>
      </x:c>
      <x:c r="V56" s="7" t="str">
        <x:f>'Customer'!S35</x:f>
      </x:c>
      <x:c r="W56" s="7" t="str">
        <x:v>R01</x:v>
      </x:c>
      <x:c r="X56" s="7" t="n">
        <x:f>'Customer'!$B$5</x:f>
        <x:v>0</x:v>
      </x:c>
      <x:c r="Y56" s="48" t="n">
        <x:f>'Customer'!V35</x:f>
        <x:v>0</x:v>
      </x:c>
      <x:c r="Z56" s="7" t="n">
        <x:f>'Customer'!U35</x:f>
        <x:v>0</x:v>
      </x:c>
    </x:row>
    <x:row r="57">
      <x:c r="A57" s="7" t="str">
        <x:v>UX-056</x:v>
      </x:c>
      <x:c r="B57" s="7" t="str">
        <x:v>Customer</x:v>
      </x:c>
      <x:c r="C57" s="7" t="str">
        <x:v>Site Pages</x:v>
      </x:c>
      <x:c r="D57" s="7" t="str">
        <x:v>CSV Import</x:v>
      </x:c>
      <x:c r="E57" s="7" t="str">
        <x:v>Import guest list safely</x:v>
      </x:c>
      <x:c r="F57" s="7" t="str">
        <x:v>CSV import should offer sample file, preview, row-level validation and duplicate handling before commit.</x:v>
      </x:c>
      <x:c r="G57" s="7" t="str">
        <x:v>Error prevention</x:v>
      </x:c>
      <x:c r="H57" s="7" t="str">
        <x:v>CSV import exists with format validation.</x:v>
      </x:c>
      <x:c r="I57" s="7" t="str">
        <x:v>Partial</x:v>
      </x:c>
      <x:c r="J57" s="7" t="str">
        <x:v>Add import preview + error report before final insert.</x:v>
      </x:c>
      <x:c r="K57" s="7" t="str">
        <x:v>Task-based usability</x:v>
      </x:c>
      <x:c r="L57" s="7" t="str">
        <x:v>P1</x:v>
      </x:c>
      <x:c r="M57" s="7" t="str">
        <x:v>Complete without facilitator; SEQ ≥5/7</x:v>
      </x:c>
      <x:c r="N57" s="7" t="str">
        <x:f>'Customer'!K36</x:f>
        <x:v>Not Tested</x:v>
      </x:c>
      <x:c r="O57" s="7" t="n">
        <x:f>'Customer'!L36</x:f>
        <x:v>0</x:v>
      </x:c>
      <x:c r="P57" s="7" t="n">
        <x:f>'Customer'!M36</x:f>
        <x:v>0</x:v>
      </x:c>
      <x:c r="Q57" s="7" t="n">
        <x:f>'Customer'!N36</x:f>
        <x:v>0</x:v>
      </x:c>
      <x:c r="R57" s="7" t="n">
        <x:f>'Customer'!O36</x:f>
        <x:v>0</x:v>
      </x:c>
      <x:c r="S57" s="7" t="n">
        <x:f>'Customer'!P36</x:f>
        <x:v>0</x:v>
      </x:c>
      <x:c r="T57" s="7" t="n">
        <x:f>'Customer'!Q36</x:f>
        <x:v>0</x:v>
      </x:c>
      <x:c r="U57" s="7" t="n">
        <x:f>'Customer'!R36</x:f>
        <x:v>0</x:v>
      </x:c>
      <x:c r="V57" s="7" t="str">
        <x:f>'Customer'!S36</x:f>
      </x:c>
      <x:c r="W57" s="7" t="str">
        <x:v>R01</x:v>
      </x:c>
      <x:c r="X57" s="7" t="n">
        <x:f>'Customer'!$B$5</x:f>
        <x:v>0</x:v>
      </x:c>
      <x:c r="Y57" s="48" t="n">
        <x:f>'Customer'!V36</x:f>
        <x:v>0</x:v>
      </x:c>
      <x:c r="Z57" s="7" t="n">
        <x:f>'Customer'!U36</x:f>
        <x:v>0</x:v>
      </x:c>
    </x:row>
    <x:row r="58">
      <x:c r="A58" s="7" t="str">
        <x:v>UX-057</x:v>
      </x:c>
      <x:c r="B58" s="7" t="str">
        <x:v>Customer</x:v>
      </x:c>
      <x:c r="C58" s="7" t="str">
        <x:v>Dashboard</x:v>
      </x:c>
      <x:c r="D58" s="7" t="str">
        <x:v>RSVP Analytics</x:v>
      </x:c>
      <x:c r="E58" s="7" t="str">
        <x:v>Understand actual response data</x:v>
      </x:c>
      <x:c r="F58" s="7" t="str">
        <x:v>Metrics and charts should derive from real RSVP records and clearly state scope.</x:v>
      </x:c>
      <x:c r="G58" s="7" t="str">
        <x:v>Trustworthy status</x:v>
      </x:c>
      <x:c r="H58" s="7" t="str">
        <x:v>v0.12+ chart groups actual Guest timestamps; active Canvas selector scopes data.</x:v>
      </x:c>
      <x:c r="I58" s="7" t="str">
        <x:v>Meets</x:v>
      </x:c>
      <x:c r="J58" s="7" t="str">
        <x:v>Add website-level aggregate alongside Canvas-level detail.</x:v>
      </x:c>
      <x:c r="K58" s="7" t="str">
        <x:v>Task-based usability</x:v>
      </x:c>
      <x:c r="L58" s="7" t="str">
        <x:v>P1</x:v>
      </x:c>
      <x:c r="M58" s="7" t="str">
        <x:v>Complete without facilitator; SEQ ≥5/7</x:v>
      </x:c>
      <x:c r="N58" s="7" t="str">
        <x:f>'Customer'!K37</x:f>
        <x:v>Not Tested</x:v>
      </x:c>
      <x:c r="O58" s="7" t="n">
        <x:f>'Customer'!L37</x:f>
        <x:v>0</x:v>
      </x:c>
      <x:c r="P58" s="7" t="n">
        <x:f>'Customer'!M37</x:f>
        <x:v>0</x:v>
      </x:c>
      <x:c r="Q58" s="7" t="n">
        <x:f>'Customer'!N37</x:f>
        <x:v>0</x:v>
      </x:c>
      <x:c r="R58" s="7" t="n">
        <x:f>'Customer'!O37</x:f>
        <x:v>0</x:v>
      </x:c>
      <x:c r="S58" s="7" t="n">
        <x:f>'Customer'!P37</x:f>
        <x:v>0</x:v>
      </x:c>
      <x:c r="T58" s="7" t="n">
        <x:f>'Customer'!Q37</x:f>
        <x:v>0</x:v>
      </x:c>
      <x:c r="U58" s="7" t="n">
        <x:f>'Customer'!R37</x:f>
        <x:v>0</x:v>
      </x:c>
      <x:c r="V58" s="7" t="str">
        <x:f>'Customer'!S37</x:f>
      </x:c>
      <x:c r="W58" s="7" t="str">
        <x:v>R01</x:v>
      </x:c>
      <x:c r="X58" s="7" t="n">
        <x:f>'Customer'!$B$5</x:f>
        <x:v>0</x:v>
      </x:c>
      <x:c r="Y58" s="48" t="n">
        <x:f>'Customer'!V37</x:f>
        <x:v>0</x:v>
      </x:c>
      <x:c r="Z58" s="7" t="n">
        <x:f>'Customer'!U37</x:f>
        <x:v>0</x:v>
      </x:c>
    </x:row>
    <x:row r="59">
      <x:c r="A59" s="7" t="str">
        <x:v>UX-058</x:v>
      </x:c>
      <x:c r="B59" s="7" t="str">
        <x:v>Customer</x:v>
      </x:c>
      <x:c r="C59" s="7" t="str">
        <x:v>Support</x:v>
      </x:c>
      <x:c r="D59" s="7" t="str">
        <x:v>Live Chat</x:v>
      </x:c>
      <x:c r="E59" s="7" t="str">
        <x:v>Contact support and see replies</x:v>
      </x:c>
      <x:c r="F59" s="7" t="str">
        <x:v>Chat should preserve history and identify support response state.</x:v>
      </x:c>
      <x:c r="G59" s="7" t="str">
        <x:v>Visibility; consistent help</x:v>
      </x:c>
      <x:c r="H59" s="7" t="str">
        <x:v>User chat is database-backed and persists.</x:v>
      </x:c>
      <x:c r="I59" s="7" t="str">
        <x:v>Partial</x:v>
      </x:c>
      <x:c r="J59" s="7" t="str">
        <x:v>Add unread reply badge, timestamp grouping and failure/retry states.</x:v>
      </x:c>
      <x:c r="K59" s="7" t="str">
        <x:v>Task-based usability</x:v>
      </x:c>
      <x:c r="L59" s="7" t="str">
        <x:v>P1</x:v>
      </x:c>
      <x:c r="M59" s="7" t="str">
        <x:v>Complete without facilitator; SEQ ≥5/7</x:v>
      </x:c>
      <x:c r="N59" s="7" t="str">
        <x:f>'Customer'!K38</x:f>
        <x:v>Not Tested</x:v>
      </x:c>
      <x:c r="O59" s="7" t="n">
        <x:f>'Customer'!L38</x:f>
        <x:v>0</x:v>
      </x:c>
      <x:c r="P59" s="7" t="n">
        <x:f>'Customer'!M38</x:f>
        <x:v>0</x:v>
      </x:c>
      <x:c r="Q59" s="7" t="n">
        <x:f>'Customer'!N38</x:f>
        <x:v>0</x:v>
      </x:c>
      <x:c r="R59" s="7" t="n">
        <x:f>'Customer'!O38</x:f>
        <x:v>0</x:v>
      </x:c>
      <x:c r="S59" s="7" t="n">
        <x:f>'Customer'!P38</x:f>
        <x:v>0</x:v>
      </x:c>
      <x:c r="T59" s="7" t="n">
        <x:f>'Customer'!Q38</x:f>
        <x:v>0</x:v>
      </x:c>
      <x:c r="U59" s="7" t="n">
        <x:f>'Customer'!R38</x:f>
        <x:v>0</x:v>
      </x:c>
      <x:c r="V59" s="7" t="str">
        <x:f>'Customer'!S38</x:f>
      </x:c>
      <x:c r="W59" s="7" t="str">
        <x:v>R01,R03</x:v>
      </x:c>
      <x:c r="X59" s="7" t="n">
        <x:f>'Customer'!$B$5</x:f>
        <x:v>0</x:v>
      </x:c>
      <x:c r="Y59" s="48" t="n">
        <x:f>'Customer'!V38</x:f>
        <x:v>0</x:v>
      </x:c>
      <x:c r="Z59" s="7" t="n">
        <x:f>'Customer'!U38</x:f>
        <x:v>0</x:v>
      </x:c>
    </x:row>
    <x:row r="60">
      <x:c r="A60" s="7" t="str">
        <x:v>UX-059</x:v>
      </x:c>
      <x:c r="B60" s="7" t="str">
        <x:v>Customer</x:v>
      </x:c>
      <x:c r="C60" s="7" t="str">
        <x:v>Account</x:v>
      </x:c>
      <x:c r="D60" s="7" t="str">
        <x:v>Profile</x:v>
      </x:c>
      <x:c r="E60" s="7" t="str">
        <x:v>Change first name, last name, email and password</x:v>
      </x:c>
      <x:c r="F60" s="7" t="str">
        <x:v>Profile controls should validate changes and explain security consequences.</x:v>
      </x:c>
      <x:c r="G60" s="7" t="str">
        <x:v>Error prevention; security UX</x:v>
      </x:c>
      <x:c r="H60" s="7" t="str">
        <x:v>Account Settings modal supports these fields.</x:v>
      </x:c>
      <x:c r="I60" s="7" t="str">
        <x:v>Partial</x:v>
      </x:c>
      <x:c r="J60" s="7" t="str">
        <x:v>Require current password/re-authentication for sensitive password/email changes in production.</x:v>
      </x:c>
      <x:c r="K60" s="7" t="str">
        <x:v>Task-based usability</x:v>
      </x:c>
      <x:c r="L60" s="7" t="str">
        <x:v>P0</x:v>
      </x:c>
      <x:c r="M60" s="7" t="str">
        <x:v>Complete without facilitator; SEQ ≥5/7</x:v>
      </x:c>
      <x:c r="N60" s="7" t="str">
        <x:f>'Customer'!K39</x:f>
        <x:v>Not Tested</x:v>
      </x:c>
      <x:c r="O60" s="7" t="n">
        <x:f>'Customer'!L39</x:f>
        <x:v>0</x:v>
      </x:c>
      <x:c r="P60" s="7" t="n">
        <x:f>'Customer'!M39</x:f>
        <x:v>0</x:v>
      </x:c>
      <x:c r="Q60" s="7" t="n">
        <x:f>'Customer'!N39</x:f>
        <x:v>0</x:v>
      </x:c>
      <x:c r="R60" s="7" t="n">
        <x:f>'Customer'!O39</x:f>
        <x:v>0</x:v>
      </x:c>
      <x:c r="S60" s="7" t="n">
        <x:f>'Customer'!P39</x:f>
        <x:v>0</x:v>
      </x:c>
      <x:c r="T60" s="7" t="n">
        <x:f>'Customer'!Q39</x:f>
        <x:v>0</x:v>
      </x:c>
      <x:c r="U60" s="7" t="n">
        <x:f>'Customer'!R39</x:f>
        <x:v>0</x:v>
      </x:c>
      <x:c r="V60" s="7" t="str">
        <x:f>'Customer'!S39</x:f>
      </x:c>
      <x:c r="W60" s="7" t="str">
        <x:v>R03</x:v>
      </x:c>
      <x:c r="X60" s="7" t="n">
        <x:f>'Customer'!$B$5</x:f>
        <x:v>0</x:v>
      </x:c>
      <x:c r="Y60" s="48" t="n">
        <x:f>'Customer'!V39</x:f>
        <x:v>0</x:v>
      </x:c>
      <x:c r="Z60" s="7" t="n">
        <x:f>'Customer'!U39</x:f>
        <x:v>0</x:v>
      </x:c>
    </x:row>
    <x:row r="61">
      <x:c r="A61" s="7" t="str">
        <x:v>UX-060</x:v>
      </x:c>
      <x:c r="B61" s="7" t="str">
        <x:v>Customer</x:v>
      </x:c>
      <x:c r="C61" s="7" t="str">
        <x:v>Settings</x:v>
      </x:c>
      <x:c r="D61" s="7" t="str">
        <x:v>Notification Sound</x:v>
      </x:c>
      <x:c r="E61" s="7" t="str">
        <x:v>Mute/unmute notifications</x:v>
      </x:c>
      <x:c r="F61" s="7" t="str">
        <x:v>Preference should persist and explain what is affected.</x:v>
      </x:c>
      <x:c r="G61" s="7" t="str">
        <x:v>User control</x:v>
      </x:c>
      <x:c r="H61" s="7" t="str">
        <x:v>Mute setting persists to account/browser.</x:v>
      </x:c>
      <x:c r="I61" s="7" t="str">
        <x:v>Meets</x:v>
      </x:c>
      <x:c r="J61" s="7" t="str">
        <x:v>Add test tone button.</x:v>
      </x:c>
      <x:c r="K61" s="7" t="str">
        <x:v>Task-based usability</x:v>
      </x:c>
      <x:c r="L61" s="7" t="str">
        <x:v>P1</x:v>
      </x:c>
      <x:c r="M61" s="7" t="str">
        <x:v>Complete without facilitator; SEQ ≥5/7</x:v>
      </x:c>
      <x:c r="N61" s="7" t="str">
        <x:f>'Customer'!K40</x:f>
        <x:v>Not Tested</x:v>
      </x:c>
      <x:c r="O61" s="7" t="n">
        <x:f>'Customer'!L40</x:f>
        <x:v>0</x:v>
      </x:c>
      <x:c r="P61" s="7" t="n">
        <x:f>'Customer'!M40</x:f>
        <x:v>0</x:v>
      </x:c>
      <x:c r="Q61" s="7" t="n">
        <x:f>'Customer'!N40</x:f>
        <x:v>0</x:v>
      </x:c>
      <x:c r="R61" s="7" t="n">
        <x:f>'Customer'!O40</x:f>
        <x:v>0</x:v>
      </x:c>
      <x:c r="S61" s="7" t="n">
        <x:f>'Customer'!P40</x:f>
        <x:v>0</x:v>
      </x:c>
      <x:c r="T61" s="7" t="n">
        <x:f>'Customer'!Q40</x:f>
        <x:v>0</x:v>
      </x:c>
      <x:c r="U61" s="7" t="n">
        <x:f>'Customer'!R40</x:f>
        <x:v>0</x:v>
      </x:c>
      <x:c r="V61" s="7" t="str">
        <x:f>'Customer'!S40</x:f>
      </x:c>
      <x:c r="W61" s="7" t="str">
        <x:v>R01</x:v>
      </x:c>
      <x:c r="X61" s="7" t="n">
        <x:f>'Customer'!$B$5</x:f>
        <x:v>0</x:v>
      </x:c>
      <x:c r="Y61" s="48" t="n">
        <x:f>'Customer'!V40</x:f>
        <x:v>0</x:v>
      </x:c>
      <x:c r="Z61" s="7" t="n">
        <x:f>'Customer'!U40</x:f>
        <x:v>0</x:v>
      </x:c>
    </x:row>
    <x:row r="62">
      <x:c r="A62" s="7" t="str">
        <x:v>UX-061</x:v>
      </x:c>
      <x:c r="B62" s="7" t="str">
        <x:v>Customer</x:v>
      </x:c>
      <x:c r="C62" s="7" t="str">
        <x:v>Settings</x:v>
      </x:c>
      <x:c r="D62" s="7" t="str">
        <x:v>Settings Navigation</x:v>
      </x:c>
      <x:c r="E62" s="7" t="str">
        <x:v>Use General, Notifications, Domain and Privacy sections</x:v>
      </x:c>
      <x:c r="F62" s="7" t="str">
        <x:v>Visible navigation options must lead to real, distinct settings content.</x:v>
      </x:c>
      <x:c r="G62" s="7" t="str">
        <x:v>Consistency; avoid dead controls</x:v>
      </x:c>
      <x:c r="H62" s="7" t="str">
        <x:v>Settings shows General/Notifications/Domain/Privacy buttons, but only General is active and buttons have no switching behavior.</x:v>
      </x:c>
      <x:c r="I62" s="7" t="str">
        <x:v>Gap</x:v>
      </x:c>
      <x:c r="J62" s="7" t="str">
        <x:v>Implement tabs fully or hide unavailable tabs until functional.</x:v>
      </x:c>
      <x:c r="K62" s="7" t="str">
        <x:v>Task-based usability</x:v>
      </x:c>
      <x:c r="L62" s="7" t="str">
        <x:v>P0</x:v>
      </x:c>
      <x:c r="M62" s="7" t="str">
        <x:v>Complete without facilitator; SEQ ≥5/7</x:v>
      </x:c>
      <x:c r="N62" s="7" t="str">
        <x:f>'Customer'!K41</x:f>
        <x:v>Not Tested</x:v>
      </x:c>
      <x:c r="O62" s="7" t="n">
        <x:f>'Customer'!L41</x:f>
        <x:v>0</x:v>
      </x:c>
      <x:c r="P62" s="7" t="n">
        <x:f>'Customer'!M41</x:f>
        <x:v>0</x:v>
      </x:c>
      <x:c r="Q62" s="7" t="n">
        <x:f>'Customer'!N41</x:f>
        <x:v>0</x:v>
      </x:c>
      <x:c r="R62" s="7" t="n">
        <x:f>'Customer'!O41</x:f>
        <x:v>0</x:v>
      </x:c>
      <x:c r="S62" s="7" t="n">
        <x:f>'Customer'!P41</x:f>
        <x:v>0</x:v>
      </x:c>
      <x:c r="T62" s="7" t="n">
        <x:f>'Customer'!Q41</x:f>
        <x:v>0</x:v>
      </x:c>
      <x:c r="U62" s="7" t="n">
        <x:f>'Customer'!R41</x:f>
        <x:v>0</x:v>
      </x:c>
      <x:c r="V62" s="7" t="str">
        <x:f>'Customer'!S41</x:f>
      </x:c>
      <x:c r="W62" s="7" t="str">
        <x:v>R01</x:v>
      </x:c>
      <x:c r="X62" s="7" t="n">
        <x:f>'Customer'!$B$5</x:f>
        <x:v>0</x:v>
      </x:c>
      <x:c r="Y62" s="48" t="n">
        <x:f>'Customer'!V41</x:f>
        <x:v>0</x:v>
      </x:c>
      <x:c r="Z62" s="7" t="n">
        <x:f>'Customer'!U41</x:f>
        <x:v>0</x:v>
      </x:c>
    </x:row>
    <x:row r="63">
      <x:c r="A63" s="7" t="str">
        <x:v>UX-062</x:v>
      </x:c>
      <x:c r="B63" s="7" t="str">
        <x:v>Customer</x:v>
      </x:c>
      <x:c r="C63" s="7" t="str">
        <x:v>Help</x:v>
      </x:c>
      <x:c r="D63" s="7" t="str">
        <x:v>Help Center</x:v>
      </x:c>
      <x:c r="E63" s="7" t="str">
        <x:v>Find help for current task</x:v>
      </x:c>
      <x:c r="F63" s="7" t="str">
        <x:v>Help should use role-specific terms and be reachable consistently from key workflows.</x:v>
      </x:c>
      <x:c r="G63" s="7" t="str">
        <x:v>Consistent help; real-world language</x:v>
      </x:c>
      <x:c r="H63" s="7" t="str">
        <x:v>Help Center exists and Live Chat is globally available.</x:v>
      </x:c>
      <x:c r="I63" s="7" t="str">
        <x:v>Partial</x:v>
      </x:c>
      <x:c r="J63" s="7" t="str">
        <x:v>Context-link help topics from editor/checkout and rename User→Customer, Editor→Web Designer.</x:v>
      </x:c>
      <x:c r="K63" s="7" t="str">
        <x:v>Task-based usability</x:v>
      </x:c>
      <x:c r="L63" s="7" t="str">
        <x:v>P1</x:v>
      </x:c>
      <x:c r="M63" s="7" t="str">
        <x:v>Complete without facilitator; SEQ ≥5/7</x:v>
      </x:c>
      <x:c r="N63" s="7" t="str">
        <x:f>'Customer'!K42</x:f>
        <x:v>Not Tested</x:v>
      </x:c>
      <x:c r="O63" s="7" t="n">
        <x:f>'Customer'!L42</x:f>
        <x:v>0</x:v>
      </x:c>
      <x:c r="P63" s="7" t="n">
        <x:f>'Customer'!M42</x:f>
        <x:v>0</x:v>
      </x:c>
      <x:c r="Q63" s="7" t="n">
        <x:f>'Customer'!N42</x:f>
        <x:v>0</x:v>
      </x:c>
      <x:c r="R63" s="7" t="n">
        <x:f>'Customer'!O42</x:f>
        <x:v>0</x:v>
      </x:c>
      <x:c r="S63" s="7" t="n">
        <x:f>'Customer'!P42</x:f>
        <x:v>0</x:v>
      </x:c>
      <x:c r="T63" s="7" t="n">
        <x:f>'Customer'!Q42</x:f>
        <x:v>0</x:v>
      </x:c>
      <x:c r="U63" s="7" t="n">
        <x:f>'Customer'!R42</x:f>
        <x:v>0</x:v>
      </x:c>
      <x:c r="V63" s="7" t="str">
        <x:f>'Customer'!S42</x:f>
      </x:c>
      <x:c r="W63" s="7" t="str">
        <x:v>R03,R01</x:v>
      </x:c>
      <x:c r="X63" s="7" t="n">
        <x:f>'Customer'!$B$5</x:f>
        <x:v>0</x:v>
      </x:c>
      <x:c r="Y63" s="48" t="n">
        <x:f>'Customer'!V42</x:f>
        <x:v>0</x:v>
      </x:c>
      <x:c r="Z63" s="7" t="n">
        <x:f>'Customer'!U42</x:f>
        <x:v>0</x:v>
      </x:c>
    </x:row>
    <x:row r="64">
      <x:c r="A64" s="7" t="str">
        <x:v>UX-063</x:v>
      </x:c>
      <x:c r="B64" s="7" t="str">
        <x:v>Customer</x:v>
      </x:c>
      <x:c r="C64" s="7" t="str">
        <x:v>Accessibility</x:v>
      </x:c>
      <x:c r="D64" s="7" t="str">
        <x:v>Drag Alternatives</x:v>
      </x:c>
      <x:c r="E64" s="7" t="str">
        <x:v>Reorder Canvas without dragging</x:v>
      </x:c>
      <x:c r="F64" s="7" t="str">
        <x:v>Any drag-only action should have a single-pointer/non-drag alternative.</x:v>
      </x:c>
      <x:c r="G64" s="7" t="str">
        <x:v>Accessible dragging</x:v>
      </x:c>
      <x:c r="H64" s="7" t="str">
        <x:v>Page Structure provides Move Up and Move Down buttons in addition to drag.</x:v>
      </x:c>
      <x:c r="I64" s="7" t="str">
        <x:v>Meets</x:v>
      </x:c>
      <x:c r="J64" s="7" t="str">
        <x:v>Verify buttons meet target size and keyboard focus requirements.</x:v>
      </x:c>
      <x:c r="K64" s="7" t="str">
        <x:v>WCAG manual</x:v>
      </x:c>
      <x:c r="L64" s="7" t="str">
        <x:v>P1</x:v>
      </x:c>
      <x:c r="M64" s="7" t="str">
        <x:v>Complete without facilitator; SEQ ≥5/7</x:v>
      </x:c>
      <x:c r="N64" s="7" t="str">
        <x:f>'Customer'!K43</x:f>
        <x:v>Not Tested</x:v>
      </x:c>
      <x:c r="O64" s="7" t="n">
        <x:f>'Customer'!L43</x:f>
        <x:v>0</x:v>
      </x:c>
      <x:c r="P64" s="7" t="n">
        <x:f>'Customer'!M43</x:f>
        <x:v>0</x:v>
      </x:c>
      <x:c r="Q64" s="7" t="n">
        <x:f>'Customer'!N43</x:f>
        <x:v>0</x:v>
      </x:c>
      <x:c r="R64" s="7" t="n">
        <x:f>'Customer'!O43</x:f>
        <x:v>0</x:v>
      </x:c>
      <x:c r="S64" s="7" t="n">
        <x:f>'Customer'!P43</x:f>
        <x:v>0</x:v>
      </x:c>
      <x:c r="T64" s="7" t="n">
        <x:f>'Customer'!Q43</x:f>
        <x:v>0</x:v>
      </x:c>
      <x:c r="U64" s="7" t="n">
        <x:f>'Customer'!R43</x:f>
        <x:v>0</x:v>
      </x:c>
      <x:c r="V64" s="7" t="str">
        <x:f>'Customer'!S43</x:f>
      </x:c>
      <x:c r="W64" s="7" t="str">
        <x:v>R04,R05</x:v>
      </x:c>
      <x:c r="X64" s="7" t="n">
        <x:f>'Customer'!$B$5</x:f>
        <x:v>0</x:v>
      </x:c>
      <x:c r="Y64" s="48" t="n">
        <x:f>'Customer'!V43</x:f>
        <x:v>0</x:v>
      </x:c>
      <x:c r="Z64" s="7" t="n">
        <x:f>'Customer'!U43</x:f>
        <x:v>0</x:v>
      </x:c>
    </x:row>
    <x:row r="65">
      <x:c r="A65" s="7" t="str">
        <x:v>UX-064</x:v>
      </x:c>
      <x:c r="B65" s="7" t="str">
        <x:v>Customer</x:v>
      </x:c>
      <x:c r="C65" s="7" t="str">
        <x:v>Authorization</x:v>
      </x:c>
      <x:c r="D65" s="7" t="str">
        <x:v>Own Data</x:v>
      </x:c>
      <x:c r="E65" s="7" t="str">
        <x:v>Never see/edit another Customer's website/order</x:v>
      </x:c>
      <x:c r="F65" s="7" t="str">
        <x:v>Customer access should be scoped to own site and own commerce/support data.</x:v>
      </x:c>
      <x:c r="G65" s="7" t="str">
        <x:v>Least privilege</x:v>
      </x:c>
      <x:c r="H65" s="7" t="str">
        <x:v>Backend has canvas.manage.own and site ownership handling; Customer lacks general orders.view.</x:v>
      </x:c>
      <x:c r="I65" s="7" t="str">
        <x:v>Partial</x:v>
      </x:c>
      <x:c r="J65" s="7" t="str">
        <x:v>Add own-order endpoint/page without granting broad orders.view; pen-test object-level authorization.</x:v>
      </x:c>
      <x:c r="K65" s="7" t="str">
        <x:v>Security UX + API</x:v>
      </x:c>
      <x:c r="L65" s="7" t="str">
        <x:v>P0</x:v>
      </x:c>
      <x:c r="M65" s="7" t="str">
        <x:v>Complete without facilitator; SEQ ≥5/7</x:v>
      </x:c>
      <x:c r="N65" s="7" t="str">
        <x:f>'Customer'!K44</x:f>
        <x:v>Not Tested</x:v>
      </x:c>
      <x:c r="O65" s="7" t="n">
        <x:f>'Customer'!L44</x:f>
        <x:v>0</x:v>
      </x:c>
      <x:c r="P65" s="7" t="n">
        <x:f>'Customer'!M44</x:f>
        <x:v>0</x:v>
      </x:c>
      <x:c r="Q65" s="7" t="n">
        <x:f>'Customer'!N44</x:f>
        <x:v>0</x:v>
      </x:c>
      <x:c r="R65" s="7" t="n">
        <x:f>'Customer'!O44</x:f>
        <x:v>0</x:v>
      </x:c>
      <x:c r="S65" s="7" t="n">
        <x:f>'Customer'!P44</x:f>
        <x:v>0</x:v>
      </x:c>
      <x:c r="T65" s="7" t="n">
        <x:f>'Customer'!Q44</x:f>
        <x:v>0</x:v>
      </x:c>
      <x:c r="U65" s="7" t="n">
        <x:f>'Customer'!R44</x:f>
        <x:v>0</x:v>
      </x:c>
      <x:c r="V65" s="7" t="n">
        <x:f>'Customer'!S44</x:f>
        <x:v>0</x:v>
      </x:c>
      <x:c r="W65" s="7" t="str">
        <x:v>R15,R16</x:v>
      </x:c>
      <x:c r="X65" s="7" t="n">
        <x:f>'Customer'!$B$5</x:f>
        <x:v>0</x:v>
      </x:c>
      <x:c r="Y65" s="48" t="n">
        <x:f>'Customer'!V44</x:f>
        <x:v>0</x:v>
      </x:c>
      <x:c r="Z65" s="7" t="n">
        <x:f>'Customer'!U44</x:f>
        <x:v>0</x:v>
      </x:c>
    </x:row>
    <x:row r="66">
      <x:c r="A66" s="7" t="str">
        <x:v>UX-065</x:v>
      </x:c>
      <x:c r="B66" s="7" t="str">
        <x:v>Web Designer</x:v>
      </x:c>
      <x:c r="C66" s="7" t="str">
        <x:v>Identity</x:v>
      </x:c>
      <x:c r="D66" s="7" t="str">
        <x:v>Role Language</x:v>
      </x:c>
      <x:c r="E66" s="7" t="str">
        <x:v>Recognize professional role consistently</x:v>
      </x:c>
      <x:c r="F66" s="7" t="str">
        <x:v>Role label should match operational job title everywhere.</x:v>
      </x:c>
      <x:c r="G66" s="7" t="str">
        <x:v>Consistency; real-world language</x:v>
      </x:c>
      <x:c r="H66" s="7" t="str">
        <x:v>System role and many labels still use 'Editor'; requested role is 'Web Designer'.</x:v>
      </x:c>
      <x:c r="I66" s="7" t="str">
        <x:v>Gap</x:v>
      </x:c>
      <x:c r="J66" s="7" t="str">
        <x:v>Rename visible role/menu copy to Web Designer; preserve role_editor internally.</x:v>
      </x:c>
      <x:c r="K66" s="7" t="str">
        <x:v>Task-based usability</x:v>
      </x:c>
      <x:c r="L66" s="7" t="str">
        <x:v>P0</x:v>
      </x:c>
      <x:c r="M66" s="7" t="str">
        <x:v>Complete without facilitator; SEQ ≥5/7</x:v>
      </x:c>
      <x:c r="N66" s="7" t="str">
        <x:f>'Web Designer'!K10</x:f>
        <x:v>Not Tested</x:v>
      </x:c>
      <x:c r="O66" s="7" t="n">
        <x:f>'Web Designer'!L10</x:f>
        <x:v>0</x:v>
      </x:c>
      <x:c r="P66" s="7" t="n">
        <x:f>'Web Designer'!M10</x:f>
        <x:v>0</x:v>
      </x:c>
      <x:c r="Q66" s="7" t="n">
        <x:f>'Web Designer'!N10</x:f>
        <x:v>0</x:v>
      </x:c>
      <x:c r="R66" s="7" t="n">
        <x:f>'Web Designer'!O10</x:f>
        <x:v>0</x:v>
      </x:c>
      <x:c r="S66" s="7" t="n">
        <x:f>'Web Designer'!P10</x:f>
        <x:v>0</x:v>
      </x:c>
      <x:c r="T66" s="7" t="n">
        <x:f>'Web Designer'!Q10</x:f>
        <x:v>0</x:v>
      </x:c>
      <x:c r="U66" s="7" t="n">
        <x:f>'Web Designer'!R10</x:f>
        <x:v>0</x:v>
      </x:c>
      <x:c r="V66" s="7" t="str">
        <x:f>'Web Designer'!S10</x:f>
      </x:c>
      <x:c r="W66" s="7" t="str">
        <x:v>R01</x:v>
      </x:c>
      <x:c r="X66" s="7" t="n">
        <x:f>'Web Designer'!$B$5</x:f>
        <x:v>0</x:v>
      </x:c>
      <x:c r="Y66" s="48" t="n">
        <x:f>'Web Designer'!V10</x:f>
        <x:v>0</x:v>
      </x:c>
      <x:c r="Z66" s="7" t="n">
        <x:f>'Web Designer'!U10</x:f>
        <x:v>0</x:v>
      </x:c>
    </x:row>
    <x:row r="67">
      <x:c r="A67" s="7" t="str">
        <x:v>UX-066</x:v>
      </x:c>
      <x:c r="B67" s="7" t="str">
        <x:v>Web Designer</x:v>
      </x:c>
      <x:c r="C67" s="7" t="str">
        <x:v>Dashboard</x:v>
      </x:c>
      <x:c r="D67" s="7" t="str">
        <x:v>Work Queue</x:v>
      </x:c>
      <x:c r="E67" s="7" t="str">
        <x:v>See assigned customers and next work</x:v>
      </x:c>
      <x:c r="F67" s="7" t="str">
        <x:v>Dashboard should prioritize assigned clients, due work, approvals/rejections and blocked items.</x:v>
      </x:c>
      <x:c r="G67" s="7" t="str">
        <x:v>Visibility; efficiency</x:v>
      </x:c>
      <x:c r="H67" s="7" t="str">
        <x:v>Dashboard shows assigned users, managed canvas count, template library and support count.</x:v>
      </x:c>
      <x:c r="I67" s="7" t="str">
        <x:v>Partial</x:v>
      </x:c>
      <x:c r="J67" s="7" t="str">
        <x:v>Add My Tasks summary with status/due date and pending approval/rejection alerts above generic metrics.</x:v>
      </x:c>
      <x:c r="K67" s="7" t="str">
        <x:v>Task-based usability</x:v>
      </x:c>
      <x:c r="L67" s="7" t="str">
        <x:v>P1</x:v>
      </x:c>
      <x:c r="M67" s="7" t="str">
        <x:v>Complete without facilitator; SEQ ≥5/7</x:v>
      </x:c>
      <x:c r="N67" s="7" t="str">
        <x:f>'Web Designer'!K11</x:f>
        <x:v>Not Tested</x:v>
      </x:c>
      <x:c r="O67" s="7" t="n">
        <x:f>'Web Designer'!L11</x:f>
        <x:v>0</x:v>
      </x:c>
      <x:c r="P67" s="7" t="n">
        <x:f>'Web Designer'!M11</x:f>
        <x:v>0</x:v>
      </x:c>
      <x:c r="Q67" s="7" t="n">
        <x:f>'Web Designer'!N11</x:f>
        <x:v>0</x:v>
      </x:c>
      <x:c r="R67" s="7" t="n">
        <x:f>'Web Designer'!O11</x:f>
        <x:v>0</x:v>
      </x:c>
      <x:c r="S67" s="7" t="n">
        <x:f>'Web Designer'!P11</x:f>
        <x:v>0</x:v>
      </x:c>
      <x:c r="T67" s="7" t="n">
        <x:f>'Web Designer'!Q11</x:f>
        <x:v>0</x:v>
      </x:c>
      <x:c r="U67" s="7" t="n">
        <x:f>'Web Designer'!R11</x:f>
        <x:v>0</x:v>
      </x:c>
      <x:c r="V67" s="7" t="str">
        <x:f>'Web Designer'!S11</x:f>
      </x:c>
      <x:c r="W67" s="7" t="str">
        <x:v>R01</x:v>
      </x:c>
      <x:c r="X67" s="7" t="n">
        <x:f>'Web Designer'!$B$5</x:f>
        <x:v>0</x:v>
      </x:c>
      <x:c r="Y67" s="48" t="n">
        <x:f>'Web Designer'!V11</x:f>
        <x:v>0</x:v>
      </x:c>
      <x:c r="Z67" s="7" t="n">
        <x:f>'Web Designer'!U11</x:f>
        <x:v>0</x:v>
      </x:c>
    </x:row>
    <x:row r="68">
      <x:c r="A68" s="7" t="str">
        <x:v>UX-067</x:v>
      </x:c>
      <x:c r="B68" s="7" t="str">
        <x:v>Web Designer</x:v>
      </x:c>
      <x:c r="C68" s="7" t="str">
        <x:v>Clients</x:v>
      </x:c>
      <x:c r="D68" s="7" t="str">
        <x:v>Assignment</x:v>
      </x:c>
      <x:c r="E68" s="7" t="str">
        <x:v>See only clients relevant to designer</x:v>
      </x:c>
      <x:c r="F68" s="7" t="str">
        <x:v>Designer should primarily see assigned customers and clearly distinguish unassigned pool if assignment is permitted.</x:v>
      </x:c>
      <x:c r="G68" s="7" t="str">
        <x:v>Least privilege; efficiency</x:v>
      </x:c>
      <x:c r="H68" s="7" t="str">
        <x:v>ClientManagement exists; assignment model is persisted server-side.</x:v>
      </x:c>
      <x:c r="I68" s="7" t="str">
        <x:v>Partial</x:v>
      </x:c>
      <x:c r="J68" s="7" t="str">
        <x:v>Default to 'My Clients'; put unassigned pool behind explicit Assign action/filter.</x:v>
      </x:c>
      <x:c r="K68" s="7" t="str">
        <x:v>Task-based usability</x:v>
      </x:c>
      <x:c r="L68" s="7" t="str">
        <x:v>P1</x:v>
      </x:c>
      <x:c r="M68" s="7" t="str">
        <x:v>Complete without facilitator; SEQ ≥5/7</x:v>
      </x:c>
      <x:c r="N68" s="7" t="str">
        <x:f>'Web Designer'!K12</x:f>
        <x:v>Not Tested</x:v>
      </x:c>
      <x:c r="O68" s="7" t="n">
        <x:f>'Web Designer'!L12</x:f>
        <x:v>0</x:v>
      </x:c>
      <x:c r="P68" s="7" t="n">
        <x:f>'Web Designer'!M12</x:f>
        <x:v>0</x:v>
      </x:c>
      <x:c r="Q68" s="7" t="n">
        <x:f>'Web Designer'!N12</x:f>
        <x:v>0</x:v>
      </x:c>
      <x:c r="R68" s="7" t="n">
        <x:f>'Web Designer'!O12</x:f>
        <x:v>0</x:v>
      </x:c>
      <x:c r="S68" s="7" t="n">
        <x:f>'Web Designer'!P12</x:f>
        <x:v>0</x:v>
      </x:c>
      <x:c r="T68" s="7" t="n">
        <x:f>'Web Designer'!Q12</x:f>
        <x:v>0</x:v>
      </x:c>
      <x:c r="U68" s="7" t="n">
        <x:f>'Web Designer'!R12</x:f>
        <x:v>0</x:v>
      </x:c>
      <x:c r="V68" s="7" t="str">
        <x:f>'Web Designer'!S12</x:f>
      </x:c>
      <x:c r="W68" s="7" t="str">
        <x:v>R15,R16</x:v>
      </x:c>
      <x:c r="X68" s="7" t="n">
        <x:f>'Web Designer'!$B$5</x:f>
        <x:v>0</x:v>
      </x:c>
      <x:c r="Y68" s="48" t="n">
        <x:f>'Web Designer'!V12</x:f>
        <x:v>0</x:v>
      </x:c>
      <x:c r="Z68" s="7" t="n">
        <x:f>'Web Designer'!U12</x:f>
        <x:v>0</x:v>
      </x:c>
    </x:row>
    <x:row r="69">
      <x:c r="A69" s="7" t="str">
        <x:v>UX-068</x:v>
      </x:c>
      <x:c r="B69" s="7" t="str">
        <x:v>Web Designer</x:v>
      </x:c>
      <x:c r="C69" s="7" t="str">
        <x:v>Clients</x:v>
      </x:c>
      <x:c r="D69" s="7" t="str">
        <x:v>Search</x:v>
      </x:c>
      <x:c r="E69" s="7" t="str">
        <x:v>Find a customer quickly</x:v>
      </x:c>
      <x:c r="F69" s="7" t="str">
        <x:v>Client list should support search/filter by customer, project status and assignment.</x:v>
      </x:c>
      <x:c r="G69" s="7" t="str">
        <x:v>Efficiency</x:v>
      </x:c>
      <x:c r="H69" s="7" t="str">
        <x:v>Admin account directory has search; ClientManagement requires dedicated UX test/source review.</x:v>
      </x:c>
      <x:c r="I69" s="7" t="str">
        <x:v>Needs User Test</x:v>
      </x:c>
      <x:c r="J69" s="7" t="str">
        <x:v>Test with 50–100 client records; add search/filter if absent/insufficient.</x:v>
      </x:c>
      <x:c r="K69" s="7" t="str">
        <x:v>Task-based usability</x:v>
      </x:c>
      <x:c r="L69" s="7" t="str">
        <x:v>P1</x:v>
      </x:c>
      <x:c r="M69" s="7" t="str">
        <x:v>Complete without facilitator; SEQ ≥5/7</x:v>
      </x:c>
      <x:c r="N69" s="7" t="str">
        <x:f>'Web Designer'!K13</x:f>
        <x:v>Not Tested</x:v>
      </x:c>
      <x:c r="O69" s="7" t="n">
        <x:f>'Web Designer'!L13</x:f>
        <x:v>0</x:v>
      </x:c>
      <x:c r="P69" s="7" t="n">
        <x:f>'Web Designer'!M13</x:f>
        <x:v>0</x:v>
      </x:c>
      <x:c r="Q69" s="7" t="n">
        <x:f>'Web Designer'!N13</x:f>
        <x:v>0</x:v>
      </x:c>
      <x:c r="R69" s="7" t="n">
        <x:f>'Web Designer'!O13</x:f>
        <x:v>0</x:v>
      </x:c>
      <x:c r="S69" s="7" t="n">
        <x:f>'Web Designer'!P13</x:f>
        <x:v>0</x:v>
      </x:c>
      <x:c r="T69" s="7" t="n">
        <x:f>'Web Designer'!Q13</x:f>
        <x:v>0</x:v>
      </x:c>
      <x:c r="U69" s="7" t="n">
        <x:f>'Web Designer'!R13</x:f>
        <x:v>0</x:v>
      </x:c>
      <x:c r="V69" s="7" t="str">
        <x:f>'Web Designer'!S13</x:f>
      </x:c>
      <x:c r="W69" s="7" t="str">
        <x:v>R01</x:v>
      </x:c>
      <x:c r="X69" s="7" t="n">
        <x:f>'Web Designer'!$B$5</x:f>
        <x:v>0</x:v>
      </x:c>
      <x:c r="Y69" s="48" t="n">
        <x:f>'Web Designer'!V13</x:f>
        <x:v>0</x:v>
      </x:c>
      <x:c r="Z69" s="7" t="n">
        <x:f>'Web Designer'!U13</x:f>
        <x:v>0</x:v>
      </x:c>
    </x:row>
    <x:row r="70">
      <x:c r="A70" s="7" t="str">
        <x:v>UX-069</x:v>
      </x:c>
      <x:c r="B70" s="7" t="str">
        <x:v>Web Designer</x:v>
      </x:c>
      <x:c r="C70" s="7" t="str">
        <x:v>Clients</x:v>
      </x:c>
      <x:c r="D70" s="7" t="str">
        <x:v>Manage Site</x:v>
      </x:c>
      <x:c r="E70" s="7" t="str">
        <x:v>Open the correct customer's site</x:v>
      </x:c>
      <x:c r="F70" s="7" t="str">
        <x:v>Selected customer identity must remain visible while editing to prevent cross-client mistakes.</x:v>
      </x:c>
      <x:c r="G70" s="7" t="str">
        <x:v>Error prevention</x:v>
      </x:c>
      <x:c r="H70" s="7" t="str">
        <x:v>v0.12 hardened site ownership/assignment paths.</x:v>
      </x:c>
      <x:c r="I70" s="7" t="str">
        <x:v>Partial</x:v>
      </x:c>
      <x:c r="J70" s="7" t="str">
        <x:v>Keep customer name/avatar persistent in editor header and confirm before switching with unsaved changes.</x:v>
      </x:c>
      <x:c r="K70" s="7" t="str">
        <x:v>Task-based usability</x:v>
      </x:c>
      <x:c r="L70" s="7" t="str">
        <x:v>P0</x:v>
      </x:c>
      <x:c r="M70" s="7" t="str">
        <x:v>Complete without facilitator; SEQ ≥5/7</x:v>
      </x:c>
      <x:c r="N70" s="7" t="str">
        <x:f>'Web Designer'!K14</x:f>
        <x:v>Not Tested</x:v>
      </x:c>
      <x:c r="O70" s="7" t="n">
        <x:f>'Web Designer'!L14</x:f>
        <x:v>0</x:v>
      </x:c>
      <x:c r="P70" s="7" t="n">
        <x:f>'Web Designer'!M14</x:f>
        <x:v>0</x:v>
      </x:c>
      <x:c r="Q70" s="7" t="n">
        <x:f>'Web Designer'!N14</x:f>
        <x:v>0</x:v>
      </x:c>
      <x:c r="R70" s="7" t="n">
        <x:f>'Web Designer'!O14</x:f>
        <x:v>0</x:v>
      </x:c>
      <x:c r="S70" s="7" t="n">
        <x:f>'Web Designer'!P14</x:f>
        <x:v>0</x:v>
      </x:c>
      <x:c r="T70" s="7" t="n">
        <x:f>'Web Designer'!Q14</x:f>
        <x:v>0</x:v>
      </x:c>
      <x:c r="U70" s="7" t="n">
        <x:f>'Web Designer'!R14</x:f>
        <x:v>0</x:v>
      </x:c>
      <x:c r="V70" s="7" t="str">
        <x:f>'Web Designer'!S14</x:f>
      </x:c>
      <x:c r="W70" s="7" t="str">
        <x:v>R01</x:v>
      </x:c>
      <x:c r="X70" s="7" t="n">
        <x:f>'Web Designer'!$B$5</x:f>
        <x:v>0</x:v>
      </x:c>
      <x:c r="Y70" s="48" t="n">
        <x:f>'Web Designer'!V14</x:f>
        <x:v>0</x:v>
      </x:c>
      <x:c r="Z70" s="7" t="n">
        <x:f>'Web Designer'!U14</x:f>
        <x:v>0</x:v>
      </x:c>
    </x:row>
    <x:row r="71">
      <x:c r="A71" s="7" t="str">
        <x:v>UX-070</x:v>
      </x:c>
      <x:c r="B71" s="7" t="str">
        <x:v>Web Designer</x:v>
      </x:c>
      <x:c r="C71" s="7" t="str">
        <x:v>Templates</x:v>
      </x:c>
      <x:c r="D71" s="7" t="str">
        <x:v>Create Template</x:v>
      </x:c>
      <x:c r="E71" s="7" t="str">
        <x:v>Start a reusable template without public URL</x:v>
      </x:c>
      <x:c r="F71" s="7" t="str">
        <x:v>Template creation should be distinct from Customer site creation and avoid irrelevant URL controls.</x:v>
      </x:c>
      <x:c r="G71" s="7" t="str">
        <x:v>Match mental model</x:v>
      </x:c>
      <x:c r="H71" s="7" t="str">
        <x:v>Template workspace is separate and hides public URL.</x:v>
      </x:c>
      <x:c r="I71" s="7" t="str">
        <x:v>Meets</x:v>
      </x:c>
      <x:c r="J71" s="7" t="str">
        <x:v>Keep workspace label explicit: Template Draft vs Customer Website.</x:v>
      </x:c>
      <x:c r="K71" s="7" t="str">
        <x:v>Task-based usability</x:v>
      </x:c>
      <x:c r="L71" s="7" t="str">
        <x:v>P1</x:v>
      </x:c>
      <x:c r="M71" s="7" t="str">
        <x:v>Complete without facilitator; SEQ ≥5/7</x:v>
      </x:c>
      <x:c r="N71" s="7" t="str">
        <x:f>'Web Designer'!K15</x:f>
        <x:v>Not Tested</x:v>
      </x:c>
      <x:c r="O71" s="7" t="n">
        <x:f>'Web Designer'!L15</x:f>
        <x:v>0</x:v>
      </x:c>
      <x:c r="P71" s="7" t="n">
        <x:f>'Web Designer'!M15</x:f>
        <x:v>0</x:v>
      </x:c>
      <x:c r="Q71" s="7" t="n">
        <x:f>'Web Designer'!N15</x:f>
        <x:v>0</x:v>
      </x:c>
      <x:c r="R71" s="7" t="n">
        <x:f>'Web Designer'!O15</x:f>
        <x:v>0</x:v>
      </x:c>
      <x:c r="S71" s="7" t="n">
        <x:f>'Web Designer'!P15</x:f>
        <x:v>0</x:v>
      </x:c>
      <x:c r="T71" s="7" t="n">
        <x:f>'Web Designer'!Q15</x:f>
        <x:v>0</x:v>
      </x:c>
      <x:c r="U71" s="7" t="n">
        <x:f>'Web Designer'!R15</x:f>
        <x:v>0</x:v>
      </x:c>
      <x:c r="V71" s="7" t="str">
        <x:f>'Web Designer'!S15</x:f>
      </x:c>
      <x:c r="W71" s="7" t="str">
        <x:v>R01</x:v>
      </x:c>
      <x:c r="X71" s="7" t="n">
        <x:f>'Web Designer'!$B$5</x:f>
        <x:v>0</x:v>
      </x:c>
      <x:c r="Y71" s="48" t="n">
        <x:f>'Web Designer'!V15</x:f>
        <x:v>0</x:v>
      </x:c>
      <x:c r="Z71" s="7" t="n">
        <x:f>'Web Designer'!U15</x:f>
        <x:v>0</x:v>
      </x:c>
    </x:row>
    <x:row r="72">
      <x:c r="A72" s="7" t="str">
        <x:v>UX-071</x:v>
      </x:c>
      <x:c r="B72" s="7" t="str">
        <x:v>Web Designer</x:v>
      </x:c>
      <x:c r="C72" s="7" t="str">
        <x:v>Templates</x:v>
      </x:c>
      <x:c r="D72" s="7" t="str">
        <x:v>Metadata</x:v>
      </x:c>
      <x:c r="E72" s="7" t="str">
        <x:v>Set name, category, price and description</x:v>
      </x:c>
      <x:c r="F72" s="7" t="str">
        <x:v>Commercial metadata should be required/validated before approval submission.</x:v>
      </x:c>
      <x:c r="G72" s="7" t="str">
        <x:v>Error prevention</x:v>
      </x:c>
      <x:c r="H72" s="7" t="str">
        <x:v>Template creator captures metadata including price and description.</x:v>
      </x:c>
      <x:c r="I72" s="7" t="str">
        <x:v>Partial</x:v>
      </x:c>
      <x:c r="J72" s="7" t="str">
        <x:v>Validate price &gt;0/business rule, preview image and required description before Submit for Approval.</x:v>
      </x:c>
      <x:c r="K72" s="7" t="str">
        <x:v>Task-based usability</x:v>
      </x:c>
      <x:c r="L72" s="7" t="str">
        <x:v>P1</x:v>
      </x:c>
      <x:c r="M72" s="7" t="str">
        <x:v>Complete without facilitator; SEQ ≥5/7</x:v>
      </x:c>
      <x:c r="N72" s="7" t="str">
        <x:f>'Web Designer'!K16</x:f>
        <x:v>Not Tested</x:v>
      </x:c>
      <x:c r="O72" s="7" t="n">
        <x:f>'Web Designer'!L16</x:f>
        <x:v>0</x:v>
      </x:c>
      <x:c r="P72" s="7" t="n">
        <x:f>'Web Designer'!M16</x:f>
        <x:v>0</x:v>
      </x:c>
      <x:c r="Q72" s="7" t="n">
        <x:f>'Web Designer'!N16</x:f>
        <x:v>0</x:v>
      </x:c>
      <x:c r="R72" s="7" t="n">
        <x:f>'Web Designer'!O16</x:f>
        <x:v>0</x:v>
      </x:c>
      <x:c r="S72" s="7" t="n">
        <x:f>'Web Designer'!P16</x:f>
        <x:v>0</x:v>
      </x:c>
      <x:c r="T72" s="7" t="n">
        <x:f>'Web Designer'!Q16</x:f>
        <x:v>0</x:v>
      </x:c>
      <x:c r="U72" s="7" t="n">
        <x:f>'Web Designer'!R16</x:f>
        <x:v>0</x:v>
      </x:c>
      <x:c r="V72" s="7" t="str">
        <x:f>'Web Designer'!S16</x:f>
      </x:c>
      <x:c r="W72" s="7" t="str">
        <x:v>R01</x:v>
      </x:c>
      <x:c r="X72" s="7" t="n">
        <x:f>'Web Designer'!$B$5</x:f>
        <x:v>0</x:v>
      </x:c>
      <x:c r="Y72" s="48" t="n">
        <x:f>'Web Designer'!V16</x:f>
        <x:v>0</x:v>
      </x:c>
      <x:c r="Z72" s="7" t="n">
        <x:f>'Web Designer'!U16</x:f>
        <x:v>0</x:v>
      </x:c>
    </x:row>
    <x:row r="73">
      <x:c r="A73" s="7" t="str">
        <x:v>UX-072</x:v>
      </x:c>
      <x:c r="B73" s="7" t="str">
        <x:v>Web Designer</x:v>
      </x:c>
      <x:c r="C73" s="7" t="str">
        <x:v>Templates</x:v>
      </x:c>
      <x:c r="D73" s="7" t="str">
        <x:v>Approval</x:v>
      </x:c>
      <x:c r="E73" s="7" t="str">
        <x:v>Submit template and see Pending status</x:v>
      </x:c>
      <x:c r="F73" s="7" t="str">
        <x:v>Submission should create one approval item and clearly show current status/next action.</x:v>
      </x:c>
      <x:c r="G73" s="7" t="str">
        <x:v>Visibility of status</x:v>
      </x:c>
      <x:c r="H73" s="7" t="str">
        <x:v>Backend creates Approval task and Pending status.</x:v>
      </x:c>
      <x:c r="I73" s="7" t="str">
        <x:v>Meets</x:v>
      </x:c>
      <x:c r="J73" s="7" t="str">
        <x:v>Add dedicated 'My Submissions' view with Pending/Rejected/Published filter.</x:v>
      </x:c>
      <x:c r="K73" s="7" t="str">
        <x:v>Task-based usability</x:v>
      </x:c>
      <x:c r="L73" s="7" t="str">
        <x:v>P1</x:v>
      </x:c>
      <x:c r="M73" s="7" t="str">
        <x:v>Complete without facilitator; SEQ ≥5/7</x:v>
      </x:c>
      <x:c r="N73" s="7" t="str">
        <x:f>'Web Designer'!K17</x:f>
        <x:v>Not Tested</x:v>
      </x:c>
      <x:c r="O73" s="7" t="n">
        <x:f>'Web Designer'!L17</x:f>
        <x:v>0</x:v>
      </x:c>
      <x:c r="P73" s="7" t="n">
        <x:f>'Web Designer'!M17</x:f>
        <x:v>0</x:v>
      </x:c>
      <x:c r="Q73" s="7" t="n">
        <x:f>'Web Designer'!N17</x:f>
        <x:v>0</x:v>
      </x:c>
      <x:c r="R73" s="7" t="n">
        <x:f>'Web Designer'!O17</x:f>
        <x:v>0</x:v>
      </x:c>
      <x:c r="S73" s="7" t="n">
        <x:f>'Web Designer'!P17</x:f>
        <x:v>0</x:v>
      </x:c>
      <x:c r="T73" s="7" t="n">
        <x:f>'Web Designer'!Q17</x:f>
        <x:v>0</x:v>
      </x:c>
      <x:c r="U73" s="7" t="n">
        <x:f>'Web Designer'!R17</x:f>
        <x:v>0</x:v>
      </x:c>
      <x:c r="V73" s="7" t="str">
        <x:f>'Web Designer'!S17</x:f>
      </x:c>
      <x:c r="W73" s="7" t="str">
        <x:v>R01</x:v>
      </x:c>
      <x:c r="X73" s="7" t="n">
        <x:f>'Web Designer'!$B$5</x:f>
        <x:v>0</x:v>
      </x:c>
      <x:c r="Y73" s="48" t="n">
        <x:f>'Web Designer'!V17</x:f>
        <x:v>0</x:v>
      </x:c>
      <x:c r="Z73" s="7" t="n">
        <x:f>'Web Designer'!U17</x:f>
        <x:v>0</x:v>
      </x:c>
    </x:row>
    <x:row r="74">
      <x:c r="A74" s="7" t="str">
        <x:v>UX-073</x:v>
      </x:c>
      <x:c r="B74" s="7" t="str">
        <x:v>Web Designer</x:v>
      </x:c>
      <x:c r="C74" s="7" t="str">
        <x:v>Templates</x:v>
      </x:c>
      <x:c r="D74" s="7" t="str">
        <x:v>Rejection</x:v>
      </x:c>
      <x:c r="E74" s="7" t="str">
        <x:v>Understand why approval was rejected</x:v>
      </x:c>
      <x:c r="F74" s="7" t="str">
        <x:v>Rejection should surface approver feedback close to the template and offer direct Edit &amp; Resubmit.</x:v>
      </x:c>
      <x:c r="G74" s="7" t="str">
        <x:v>Error recovery</x:v>
      </x:c>
      <x:c r="H74" s="7" t="str">
        <x:v>Decision note/email path exists in approval backend.</x:v>
      </x:c>
      <x:c r="I74" s="7" t="str">
        <x:v>Partial</x:v>
      </x:c>
      <x:c r="J74" s="7" t="str">
        <x:v>Expose feedback prominently in Designer template list and deep-link to Edit &amp; Resubmit.</x:v>
      </x:c>
      <x:c r="K74" s="7" t="str">
        <x:v>Task-based usability</x:v>
      </x:c>
      <x:c r="L74" s="7" t="str">
        <x:v>P1</x:v>
      </x:c>
      <x:c r="M74" s="7" t="str">
        <x:v>Complete without facilitator; SEQ ≥5/7</x:v>
      </x:c>
      <x:c r="N74" s="7" t="str">
        <x:f>'Web Designer'!K18</x:f>
        <x:v>Not Tested</x:v>
      </x:c>
      <x:c r="O74" s="7" t="n">
        <x:f>'Web Designer'!L18</x:f>
        <x:v>0</x:v>
      </x:c>
      <x:c r="P74" s="7" t="n">
        <x:f>'Web Designer'!M18</x:f>
        <x:v>0</x:v>
      </x:c>
      <x:c r="Q74" s="7" t="n">
        <x:f>'Web Designer'!N18</x:f>
        <x:v>0</x:v>
      </x:c>
      <x:c r="R74" s="7" t="n">
        <x:f>'Web Designer'!O18</x:f>
        <x:v>0</x:v>
      </x:c>
      <x:c r="S74" s="7" t="n">
        <x:f>'Web Designer'!P18</x:f>
        <x:v>0</x:v>
      </x:c>
      <x:c r="T74" s="7" t="n">
        <x:f>'Web Designer'!Q18</x:f>
        <x:v>0</x:v>
      </x:c>
      <x:c r="U74" s="7" t="n">
        <x:f>'Web Designer'!R18</x:f>
        <x:v>0</x:v>
      </x:c>
      <x:c r="V74" s="7" t="str">
        <x:f>'Web Designer'!S18</x:f>
      </x:c>
      <x:c r="W74" s="7" t="str">
        <x:v>R01</x:v>
      </x:c>
      <x:c r="X74" s="7" t="n">
        <x:f>'Web Designer'!$B$5</x:f>
        <x:v>0</x:v>
      </x:c>
      <x:c r="Y74" s="48" t="n">
        <x:f>'Web Designer'!V18</x:f>
        <x:v>0</x:v>
      </x:c>
      <x:c r="Z74" s="7" t="n">
        <x:f>'Web Designer'!U18</x:f>
        <x:v>0</x:v>
      </x:c>
    </x:row>
    <x:row r="75">
      <x:c r="A75" s="7" t="str">
        <x:v>UX-074</x:v>
      </x:c>
      <x:c r="B75" s="7" t="str">
        <x:v>Web Designer</x:v>
      </x:c>
      <x:c r="C75" s="7" t="str">
        <x:v>Templates</x:v>
      </x:c>
      <x:c r="D75" s="7" t="str">
        <x:v>Preview</x:v>
      </x:c>
      <x:c r="E75" s="7" t="str">
        <x:v>Preview actual template before submission</x:v>
      </x:c>
      <x:c r="F75" s="7" t="str">
        <x:v>Preview should render saved Canvas, not a generic representation.</x:v>
      </x:c>
      <x:c r="G75" s="7" t="str">
        <x:v>Accurate system feedback</x:v>
      </x:c>
      <x:c r="H75" s="7" t="str">
        <x:v>Editor preview renders current sections; public template journey preview remains generic.</x:v>
      </x:c>
      <x:c r="I75" s="7" t="str">
        <x:v>Partial</x:v>
      </x:c>
      <x:c r="J75" s="7" t="str">
        <x:v>Add approval preview using exact template canvas and responsive modes.</x:v>
      </x:c>
      <x:c r="K75" s="7" t="str">
        <x:v>Task-based usability</x:v>
      </x:c>
      <x:c r="L75" s="7" t="str">
        <x:v>P0</x:v>
      </x:c>
      <x:c r="M75" s="7" t="str">
        <x:v>Complete without facilitator; SEQ ≥5/7</x:v>
      </x:c>
      <x:c r="N75" s="7" t="str">
        <x:f>'Web Designer'!K19</x:f>
        <x:v>Not Tested</x:v>
      </x:c>
      <x:c r="O75" s="7" t="n">
        <x:f>'Web Designer'!L19</x:f>
        <x:v>0</x:v>
      </x:c>
      <x:c r="P75" s="7" t="n">
        <x:f>'Web Designer'!M19</x:f>
        <x:v>0</x:v>
      </x:c>
      <x:c r="Q75" s="7" t="n">
        <x:f>'Web Designer'!N19</x:f>
        <x:v>0</x:v>
      </x:c>
      <x:c r="R75" s="7" t="n">
        <x:f>'Web Designer'!O19</x:f>
        <x:v>0</x:v>
      </x:c>
      <x:c r="S75" s="7" t="n">
        <x:f>'Web Designer'!P19</x:f>
        <x:v>0</x:v>
      </x:c>
      <x:c r="T75" s="7" t="n">
        <x:f>'Web Designer'!Q19</x:f>
        <x:v>0</x:v>
      </x:c>
      <x:c r="U75" s="7" t="n">
        <x:f>'Web Designer'!R19</x:f>
        <x:v>0</x:v>
      </x:c>
      <x:c r="V75" s="7" t="str">
        <x:f>'Web Designer'!S19</x:f>
      </x:c>
      <x:c r="W75" s="7" t="str">
        <x:v>R01</x:v>
      </x:c>
      <x:c r="X75" s="7" t="n">
        <x:f>'Web Designer'!$B$5</x:f>
        <x:v>0</x:v>
      </x:c>
      <x:c r="Y75" s="48" t="n">
        <x:f>'Web Designer'!V19</x:f>
        <x:v>0</x:v>
      </x:c>
      <x:c r="Z75" s="7" t="n">
        <x:f>'Web Designer'!U19</x:f>
        <x:v>0</x:v>
      </x:c>
    </x:row>
    <x:row r="76">
      <x:c r="A76" s="7" t="str">
        <x:v>UX-075</x:v>
      </x:c>
      <x:c r="B76" s="7" t="str">
        <x:v>Web Designer</x:v>
      </x:c>
      <x:c r="C76" s="7" t="str">
        <x:v>Editor</x:v>
      </x:c>
      <x:c r="D76" s="7" t="str">
        <x:v>Page Structure</x:v>
      </x:c>
      <x:c r="E76" s="7" t="str">
        <x:v>Reorder Canvas by drag</x:v>
      </x:c>
      <x:c r="F76" s="7" t="str">
        <x:v>Drag should feel predictable with clear drop target and preserve state.</x:v>
      </x:c>
      <x:c r="G76" s="7" t="str">
        <x:v>Direct manipulation</x:v>
      </x:c>
      <x:c r="H76" s="7" t="str">
        <x:v>Drag/drop exists in Page Structure.</x:v>
      </x:c>
      <x:c r="I76" s="7" t="str">
        <x:v>Needs User Test</x:v>
      </x:c>
      <x:c r="J76" s="7" t="str">
        <x:v>Test drop target visibility, long-page auto-scroll and accidental drops.</x:v>
      </x:c>
      <x:c r="K76" s="7" t="str">
        <x:v>Task-based usability</x:v>
      </x:c>
      <x:c r="L76" s="7" t="str">
        <x:v>P1</x:v>
      </x:c>
      <x:c r="M76" s="7" t="str">
        <x:v>Complete without facilitator; SEQ ≥5/7</x:v>
      </x:c>
      <x:c r="N76" s="7" t="str">
        <x:f>'Web Designer'!K20</x:f>
        <x:v>Not Tested</x:v>
      </x:c>
      <x:c r="O76" s="7" t="n">
        <x:f>'Web Designer'!L20</x:f>
        <x:v>0</x:v>
      </x:c>
      <x:c r="P76" s="7" t="n">
        <x:f>'Web Designer'!M20</x:f>
        <x:v>0</x:v>
      </x:c>
      <x:c r="Q76" s="7" t="n">
        <x:f>'Web Designer'!N20</x:f>
        <x:v>0</x:v>
      </x:c>
      <x:c r="R76" s="7" t="n">
        <x:f>'Web Designer'!O20</x:f>
        <x:v>0</x:v>
      </x:c>
      <x:c r="S76" s="7" t="n">
        <x:f>'Web Designer'!P20</x:f>
        <x:v>0</x:v>
      </x:c>
      <x:c r="T76" s="7" t="n">
        <x:f>'Web Designer'!Q20</x:f>
        <x:v>0</x:v>
      </x:c>
      <x:c r="U76" s="7" t="n">
        <x:f>'Web Designer'!R20</x:f>
        <x:v>0</x:v>
      </x:c>
      <x:c r="V76" s="7" t="str">
        <x:f>'Web Designer'!S20</x:f>
      </x:c>
      <x:c r="W76" s="7" t="str">
        <x:v>R01</x:v>
      </x:c>
      <x:c r="X76" s="7" t="n">
        <x:f>'Web Designer'!$B$5</x:f>
        <x:v>0</x:v>
      </x:c>
      <x:c r="Y76" s="48" t="n">
        <x:f>'Web Designer'!V20</x:f>
        <x:v>0</x:v>
      </x:c>
      <x:c r="Z76" s="7" t="n">
        <x:f>'Web Designer'!U20</x:f>
        <x:v>0</x:v>
      </x:c>
    </x:row>
    <x:row r="77">
      <x:c r="A77" s="7" t="str">
        <x:v>UX-076</x:v>
      </x:c>
      <x:c r="B77" s="7" t="str">
        <x:v>Web Designer</x:v>
      </x:c>
      <x:c r="C77" s="7" t="str">
        <x:v>Editor</x:v>
      </x:c>
      <x:c r="D77" s="7" t="str">
        <x:v>Page Structure</x:v>
      </x:c>
      <x:c r="E77" s="7" t="str">
        <x:v>Reorder Canvas without drag</x:v>
      </x:c>
      <x:c r="F77" s="7" t="str">
        <x:v>Move Up/Down or equivalent must exist as accessible alternative.</x:v>
      </x:c>
      <x:c r="G77" s="7" t="str">
        <x:v>Accessible dragging</x:v>
      </x:c>
      <x:c r="H77" s="7" t="str">
        <x:v>Move Up/Move Down buttons exist.</x:v>
      </x:c>
      <x:c r="I77" s="7" t="str">
        <x:v>Meets</x:v>
      </x:c>
      <x:c r="J77" s="7" t="str">
        <x:v>Increase hit area if below target size.</x:v>
      </x:c>
      <x:c r="K77" s="7" t="str">
        <x:v>WCAG manual</x:v>
      </x:c>
      <x:c r="L77" s="7" t="str">
        <x:v>P1</x:v>
      </x:c>
      <x:c r="M77" s="7" t="str">
        <x:v>Complete without facilitator; SEQ ≥5/7</x:v>
      </x:c>
      <x:c r="N77" s="7" t="str">
        <x:f>'Web Designer'!K21</x:f>
        <x:v>Not Tested</x:v>
      </x:c>
      <x:c r="O77" s="7" t="n">
        <x:f>'Web Designer'!L21</x:f>
        <x:v>0</x:v>
      </x:c>
      <x:c r="P77" s="7" t="n">
        <x:f>'Web Designer'!M21</x:f>
        <x:v>0</x:v>
      </x:c>
      <x:c r="Q77" s="7" t="n">
        <x:f>'Web Designer'!N21</x:f>
        <x:v>0</x:v>
      </x:c>
      <x:c r="R77" s="7" t="n">
        <x:f>'Web Designer'!O21</x:f>
        <x:v>0</x:v>
      </x:c>
      <x:c r="S77" s="7" t="n">
        <x:f>'Web Designer'!P21</x:f>
        <x:v>0</x:v>
      </x:c>
      <x:c r="T77" s="7" t="n">
        <x:f>'Web Designer'!Q21</x:f>
        <x:v>0</x:v>
      </x:c>
      <x:c r="U77" s="7" t="n">
        <x:f>'Web Designer'!R21</x:f>
        <x:v>0</x:v>
      </x:c>
      <x:c r="V77" s="7" t="str">
        <x:f>'Web Designer'!S21</x:f>
      </x:c>
      <x:c r="W77" s="7" t="str">
        <x:v>R04,R05</x:v>
      </x:c>
      <x:c r="X77" s="7" t="n">
        <x:f>'Web Designer'!$B$5</x:f>
        <x:v>0</x:v>
      </x:c>
      <x:c r="Y77" s="48" t="n">
        <x:f>'Web Designer'!V21</x:f>
        <x:v>0</x:v>
      </x:c>
      <x:c r="Z77" s="7" t="n">
        <x:f>'Web Designer'!U21</x:f>
        <x:v>0</x:v>
      </x:c>
    </x:row>
    <x:row r="78">
      <x:c r="A78" s="7" t="str">
        <x:v>UX-077</x:v>
      </x:c>
      <x:c r="B78" s="7" t="str">
        <x:v>Web Designer</x:v>
      </x:c>
      <x:c r="C78" s="7" t="str">
        <x:v>Editor</x:v>
      </x:c>
      <x:c r="D78" s="7" t="str">
        <x:v>Feature Library</x:v>
      </x:c>
      <x:c r="E78" s="7" t="str">
        <x:v>Add feature without drag</x:v>
      </x:c>
      <x:c r="F78" s="7" t="str">
        <x:v>Feature cards should support both click and drag and make destination clear.</x:v>
      </x:c>
      <x:c r="G78" s="7" t="str">
        <x:v>Accessible dragging; error prevention</x:v>
      </x:c>
      <x:c r="H78" s="7" t="str">
        <x:v>Feature cards are draggable and clickable.</x:v>
      </x:c>
      <x:c r="I78" s="7" t="str">
        <x:v>Meets</x:v>
      </x:c>
      <x:c r="J78" s="7" t="str">
        <x:v>When clicking with no active column, explain where feature will be inserted.</x:v>
      </x:c>
      <x:c r="K78" s="7" t="str">
        <x:v>Task-based usability</x:v>
      </x:c>
      <x:c r="L78" s="7" t="str">
        <x:v>P1</x:v>
      </x:c>
      <x:c r="M78" s="7" t="str">
        <x:v>Complete without facilitator; SEQ ≥5/7</x:v>
      </x:c>
      <x:c r="N78" s="7" t="str">
        <x:f>'Web Designer'!K22</x:f>
        <x:v>Not Tested</x:v>
      </x:c>
      <x:c r="O78" s="7" t="n">
        <x:f>'Web Designer'!L22</x:f>
        <x:v>0</x:v>
      </x:c>
      <x:c r="P78" s="7" t="n">
        <x:f>'Web Designer'!M22</x:f>
        <x:v>0</x:v>
      </x:c>
      <x:c r="Q78" s="7" t="n">
        <x:f>'Web Designer'!N22</x:f>
        <x:v>0</x:v>
      </x:c>
      <x:c r="R78" s="7" t="n">
        <x:f>'Web Designer'!O22</x:f>
        <x:v>0</x:v>
      </x:c>
      <x:c r="S78" s="7" t="n">
        <x:f>'Web Designer'!P22</x:f>
        <x:v>0</x:v>
      </x:c>
      <x:c r="T78" s="7" t="n">
        <x:f>'Web Designer'!Q22</x:f>
        <x:v>0</x:v>
      </x:c>
      <x:c r="U78" s="7" t="n">
        <x:f>'Web Designer'!R22</x:f>
        <x:v>0</x:v>
      </x:c>
      <x:c r="V78" s="7" t="str">
        <x:f>'Web Designer'!S22</x:f>
      </x:c>
      <x:c r="W78" s="7" t="str">
        <x:v>R04,R01</x:v>
      </x:c>
      <x:c r="X78" s="7" t="n">
        <x:f>'Web Designer'!$B$5</x:f>
        <x:v>0</x:v>
      </x:c>
      <x:c r="Y78" s="48" t="n">
        <x:f>'Web Designer'!V22</x:f>
        <x:v>0</x:v>
      </x:c>
      <x:c r="Z78" s="7" t="n">
        <x:f>'Web Designer'!U22</x:f>
        <x:v>0</x:v>
      </x:c>
    </x:row>
    <x:row r="79">
      <x:c r="A79" s="7" t="str">
        <x:v>UX-078</x:v>
      </x:c>
      <x:c r="B79" s="7" t="str">
        <x:v>Web Designer</x:v>
      </x:c>
      <x:c r="C79" s="7" t="str">
        <x:v>Editor</x:v>
      </x:c>
      <x:c r="D79" s="7" t="str">
        <x:v>Direct Text Editing</x:v>
      </x:c>
      <x:c r="E79" s="7" t="str">
        <x:v>Edit content in context</x:v>
      </x:c>
      <x:c r="F79" s="7" t="str">
        <x:v>Inline editing should clearly indicate editable text and preserve typography.</x:v>
      </x:c>
      <x:c r="G79" s="7" t="str">
        <x:v>Direct manipulation</x:v>
      </x:c>
      <x:c r="H79" s="7" t="str">
        <x:v>Inline editing is supported.</x:v>
      </x:c>
      <x:c r="I79" s="7" t="str">
        <x:v>Needs User Test</x:v>
      </x:c>
      <x:c r="J79" s="7" t="str">
        <x:v>Test discoverability with first-time designers and selection/caret behavior.</x:v>
      </x:c>
      <x:c r="K79" s="7" t="str">
        <x:v>Task-based usability</x:v>
      </x:c>
      <x:c r="L79" s="7" t="str">
        <x:v>P1</x:v>
      </x:c>
      <x:c r="M79" s="7" t="str">
        <x:v>Complete without facilitator; SEQ ≥5/7</x:v>
      </x:c>
      <x:c r="N79" s="7" t="str">
        <x:f>'Web Designer'!K23</x:f>
        <x:v>Not Tested</x:v>
      </x:c>
      <x:c r="O79" s="7" t="n">
        <x:f>'Web Designer'!L23</x:f>
        <x:v>0</x:v>
      </x:c>
      <x:c r="P79" s="7" t="n">
        <x:f>'Web Designer'!M23</x:f>
        <x:v>0</x:v>
      </x:c>
      <x:c r="Q79" s="7" t="n">
        <x:f>'Web Designer'!N23</x:f>
        <x:v>0</x:v>
      </x:c>
      <x:c r="R79" s="7" t="n">
        <x:f>'Web Designer'!O23</x:f>
        <x:v>0</x:v>
      </x:c>
      <x:c r="S79" s="7" t="n">
        <x:f>'Web Designer'!P23</x:f>
        <x:v>0</x:v>
      </x:c>
      <x:c r="T79" s="7" t="n">
        <x:f>'Web Designer'!Q23</x:f>
        <x:v>0</x:v>
      </x:c>
      <x:c r="U79" s="7" t="n">
        <x:f>'Web Designer'!R23</x:f>
        <x:v>0</x:v>
      </x:c>
      <x:c r="V79" s="7" t="str">
        <x:f>'Web Designer'!S23</x:f>
      </x:c>
      <x:c r="W79" s="7" t="str">
        <x:v>R01</x:v>
      </x:c>
      <x:c r="X79" s="7" t="n">
        <x:f>'Web Designer'!$B$5</x:f>
        <x:v>0</x:v>
      </x:c>
      <x:c r="Y79" s="48" t="n">
        <x:f>'Web Designer'!V23</x:f>
        <x:v>0</x:v>
      </x:c>
      <x:c r="Z79" s="7" t="n">
        <x:f>'Web Designer'!U23</x:f>
        <x:v>0</x:v>
      </x:c>
    </x:row>
    <x:row r="80">
      <x:c r="A80" s="7" t="str">
        <x:v>UX-079</x:v>
      </x:c>
      <x:c r="B80" s="7" t="str">
        <x:v>Web Designer</x:v>
      </x:c>
      <x:c r="C80" s="7" t="str">
        <x:v>Editor</x:v>
      </x:c>
      <x:c r="D80" s="7" t="str">
        <x:v>Inspector</x:v>
      </x:c>
      <x:c r="E80" s="7" t="str">
        <x:v>Use Content / Style / Advanced without hunting</x:v>
      </x:c>
      <x:c r="F80" s="7" t="str">
        <x:v>Property grouping should map to designer mental model and preserve selection context.</x:v>
      </x:c>
      <x:c r="G80" s="7" t="str">
        <x:v>Recognition; efficiency</x:v>
      </x:c>
      <x:c r="H80" s="7" t="str">
        <x:v>Three inspector tabs exist.</x:v>
      </x:c>
      <x:c r="I80" s="7" t="str">
        <x:v>Needs User Test</x:v>
      </x:c>
      <x:c r="J80" s="7" t="str">
        <x:v>Run card-sort/task test for locating common controls: font, spacing, background, animation.</x:v>
      </x:c>
      <x:c r="K80" s="7" t="str">
        <x:v>Task-based usability</x:v>
      </x:c>
      <x:c r="L80" s="7" t="str">
        <x:v>P1</x:v>
      </x:c>
      <x:c r="M80" s="7" t="str">
        <x:v>Complete without facilitator; SEQ ≥5/7</x:v>
      </x:c>
      <x:c r="N80" s="7" t="str">
        <x:f>'Web Designer'!K24</x:f>
        <x:v>Not Tested</x:v>
      </x:c>
      <x:c r="O80" s="7" t="n">
        <x:f>'Web Designer'!L24</x:f>
        <x:v>0</x:v>
      </x:c>
      <x:c r="P80" s="7" t="n">
        <x:f>'Web Designer'!M24</x:f>
        <x:v>0</x:v>
      </x:c>
      <x:c r="Q80" s="7" t="n">
        <x:f>'Web Designer'!N24</x:f>
        <x:v>0</x:v>
      </x:c>
      <x:c r="R80" s="7" t="n">
        <x:f>'Web Designer'!O24</x:f>
        <x:v>0</x:v>
      </x:c>
      <x:c r="S80" s="7" t="n">
        <x:f>'Web Designer'!P24</x:f>
        <x:v>0</x:v>
      </x:c>
      <x:c r="T80" s="7" t="n">
        <x:f>'Web Designer'!Q24</x:f>
        <x:v>0</x:v>
      </x:c>
      <x:c r="U80" s="7" t="n">
        <x:f>'Web Designer'!R24</x:f>
        <x:v>0</x:v>
      </x:c>
      <x:c r="V80" s="7" t="str">
        <x:f>'Web Designer'!S24</x:f>
      </x:c>
      <x:c r="W80" s="7" t="str">
        <x:v>R01,R02</x:v>
      </x:c>
      <x:c r="X80" s="7" t="n">
        <x:f>'Web Designer'!$B$5</x:f>
        <x:v>0</x:v>
      </x:c>
      <x:c r="Y80" s="48" t="n">
        <x:f>'Web Designer'!V24</x:f>
        <x:v>0</x:v>
      </x:c>
      <x:c r="Z80" s="7" t="n">
        <x:f>'Web Designer'!U24</x:f>
        <x:v>0</x:v>
      </x:c>
    </x:row>
    <x:row r="81">
      <x:c r="A81" s="7" t="str">
        <x:v>UX-080</x:v>
      </x:c>
      <x:c r="B81" s="7" t="str">
        <x:v>Web Designer</x:v>
      </x:c>
      <x:c r="C81" s="7" t="str">
        <x:v>Editor</x:v>
      </x:c>
      <x:c r="D81" s="7" t="str">
        <x:v>Responsive Preview</x:v>
      </x:c>
      <x:c r="E81" s="7" t="str">
        <x:v>Switch desktop/mobile preview</x:v>
      </x:c>
      <x:c r="F81" s="7" t="str">
        <x:v>Breakpoint preview should be fast, clearly labeled and mirror published layout.</x:v>
      </x:c>
      <x:c r="G81" s="7" t="str">
        <x:v>Visibility; efficiency</x:v>
      </x:c>
      <x:c r="H81" s="7" t="str">
        <x:v>Desktop/mobile switch exists.</x:v>
      </x:c>
      <x:c r="I81" s="7" t="str">
        <x:v>Partial</x:v>
      </x:c>
      <x:c r="J81" s="7" t="str">
        <x:v>Add tablet breakpoint and width indicator if Designer needs responsive fine-tuning.</x:v>
      </x:c>
      <x:c r="K81" s="7" t="str">
        <x:v>Task-based usability</x:v>
      </x:c>
      <x:c r="L81" s="7" t="str">
        <x:v>P1</x:v>
      </x:c>
      <x:c r="M81" s="7" t="str">
        <x:v>Complete without facilitator; SEQ ≥5/7</x:v>
      </x:c>
      <x:c r="N81" s="7" t="str">
        <x:f>'Web Designer'!K25</x:f>
        <x:v>Not Tested</x:v>
      </x:c>
      <x:c r="O81" s="7" t="n">
        <x:f>'Web Designer'!L25</x:f>
        <x:v>0</x:v>
      </x:c>
      <x:c r="P81" s="7" t="n">
        <x:f>'Web Designer'!M25</x:f>
        <x:v>0</x:v>
      </x:c>
      <x:c r="Q81" s="7" t="n">
        <x:f>'Web Designer'!N25</x:f>
        <x:v>0</x:v>
      </x:c>
      <x:c r="R81" s="7" t="n">
        <x:f>'Web Designer'!O25</x:f>
        <x:v>0</x:v>
      </x:c>
      <x:c r="S81" s="7" t="n">
        <x:f>'Web Designer'!P25</x:f>
        <x:v>0</x:v>
      </x:c>
      <x:c r="T81" s="7" t="n">
        <x:f>'Web Designer'!Q25</x:f>
        <x:v>0</x:v>
      </x:c>
      <x:c r="U81" s="7" t="n">
        <x:f>'Web Designer'!R25</x:f>
        <x:v>0</x:v>
      </x:c>
      <x:c r="V81" s="7" t="str">
        <x:f>'Web Designer'!S25</x:f>
      </x:c>
      <x:c r="W81" s="7" t="str">
        <x:v>R01</x:v>
      </x:c>
      <x:c r="X81" s="7" t="n">
        <x:f>'Web Designer'!$B$5</x:f>
        <x:v>0</x:v>
      </x:c>
      <x:c r="Y81" s="48" t="n">
        <x:f>'Web Designer'!V25</x:f>
        <x:v>0</x:v>
      </x:c>
      <x:c r="Z81" s="7" t="n">
        <x:f>'Web Designer'!U25</x:f>
        <x:v>0</x:v>
      </x:c>
    </x:row>
    <x:row r="82">
      <x:c r="A82" s="7" t="str">
        <x:v>UX-081</x:v>
      </x:c>
      <x:c r="B82" s="7" t="str">
        <x:v>Web Designer</x:v>
      </x:c>
      <x:c r="C82" s="7" t="str">
        <x:v>Editor</x:v>
      </x:c>
      <x:c r="D82" s="7" t="str">
        <x:v>Undo / Redo</x:v>
      </x:c>
      <x:c r="E82" s="7" t="str">
        <x:v>Recover from accidental edits immediately</x:v>
      </x:c>
      <x:c r="F82" s="7" t="str">
        <x:v>Professional visual editors should offer undo/redo for frequent low-risk recovery.</x:v>
      </x:c>
      <x:c r="G82" s="7" t="str">
        <x:v>User control and freedom</x:v>
      </x:c>
      <x:c r="H82" s="7" t="str">
        <x:v>No global undo/redo stack is evident.</x:v>
      </x:c>
      <x:c r="I82" s="7" t="str">
        <x:v>Gap</x:v>
      </x:c>
      <x:c r="J82" s="7" t="str">
        <x:v>Implement history stack with Undo/Redo keyboard shortcuts.</x:v>
      </x:c>
      <x:c r="K82" s="7" t="str">
        <x:v>Task-based usability</x:v>
      </x:c>
      <x:c r="L82" s="7" t="str">
        <x:v>P0</x:v>
      </x:c>
      <x:c r="M82" s="7" t="str">
        <x:v>Complete without facilitator; SEQ ≥5/7</x:v>
      </x:c>
      <x:c r="N82" s="7" t="str">
        <x:f>'Web Designer'!K26</x:f>
        <x:v>Not Tested</x:v>
      </x:c>
      <x:c r="O82" s="7" t="n">
        <x:f>'Web Designer'!L26</x:f>
        <x:v>0</x:v>
      </x:c>
      <x:c r="P82" s="7" t="n">
        <x:f>'Web Designer'!M26</x:f>
        <x:v>0</x:v>
      </x:c>
      <x:c r="Q82" s="7" t="n">
        <x:f>'Web Designer'!N26</x:f>
        <x:v>0</x:v>
      </x:c>
      <x:c r="R82" s="7" t="n">
        <x:f>'Web Designer'!O26</x:f>
        <x:v>0</x:v>
      </x:c>
      <x:c r="S82" s="7" t="n">
        <x:f>'Web Designer'!P26</x:f>
        <x:v>0</x:v>
      </x:c>
      <x:c r="T82" s="7" t="n">
        <x:f>'Web Designer'!Q26</x:f>
        <x:v>0</x:v>
      </x:c>
      <x:c r="U82" s="7" t="n">
        <x:f>'Web Designer'!R26</x:f>
        <x:v>0</x:v>
      </x:c>
      <x:c r="V82" s="7" t="str">
        <x:f>'Web Designer'!S26</x:f>
      </x:c>
      <x:c r="W82" s="7" t="str">
        <x:v>R01</x:v>
      </x:c>
      <x:c r="X82" s="7" t="n">
        <x:f>'Web Designer'!$B$5</x:f>
        <x:v>0</x:v>
      </x:c>
      <x:c r="Y82" s="48" t="n">
        <x:f>'Web Designer'!V26</x:f>
        <x:v>0</x:v>
      </x:c>
      <x:c r="Z82" s="7" t="n">
        <x:f>'Web Designer'!U26</x:f>
        <x:v>0</x:v>
      </x:c>
    </x:row>
    <x:row r="83">
      <x:c r="A83" s="7" t="str">
        <x:v>UX-082</x:v>
      </x:c>
      <x:c r="B83" s="7" t="str">
        <x:v>Web Designer</x:v>
      </x:c>
      <x:c r="C83" s="7" t="str">
        <x:v>Editor</x:v>
      </x:c>
      <x:c r="D83" s="7" t="str">
        <x:v>Autosave</x:v>
      </x:c>
      <x:c r="E83" s="7" t="str">
        <x:v>Protect long editing sessions</x:v>
      </x:c>
      <x:c r="F83" s="7" t="str">
        <x:v>Changes should autosave safely and show last-saved state.</x:v>
      </x:c>
      <x:c r="G83" s="7" t="str">
        <x:v>Error recovery</x:v>
      </x:c>
      <x:c r="H83" s="7" t="str">
        <x:v>Manual save plus leave prompt exists; no periodic autosave.</x:v>
      </x:c>
      <x:c r="I83" s="7" t="str">
        <x:v>Gap</x:v>
      </x:c>
      <x:c r="J83" s="7" t="str">
        <x:v>Add server-backed autosave draft and last-saved timestamp.</x:v>
      </x:c>
      <x:c r="K83" s="7" t="str">
        <x:v>Task-based usability</x:v>
      </x:c>
      <x:c r="L83" s="7" t="str">
        <x:v>P0</x:v>
      </x:c>
      <x:c r="M83" s="7" t="str">
        <x:v>Complete without facilitator; SEQ ≥5/7</x:v>
      </x:c>
      <x:c r="N83" s="7" t="str">
        <x:f>'Web Designer'!K27</x:f>
        <x:v>Not Tested</x:v>
      </x:c>
      <x:c r="O83" s="7" t="n">
        <x:f>'Web Designer'!L27</x:f>
        <x:v>0</x:v>
      </x:c>
      <x:c r="P83" s="7" t="n">
        <x:f>'Web Designer'!M27</x:f>
        <x:v>0</x:v>
      </x:c>
      <x:c r="Q83" s="7" t="n">
        <x:f>'Web Designer'!N27</x:f>
        <x:v>0</x:v>
      </x:c>
      <x:c r="R83" s="7" t="n">
        <x:f>'Web Designer'!O27</x:f>
        <x:v>0</x:v>
      </x:c>
      <x:c r="S83" s="7" t="n">
        <x:f>'Web Designer'!P27</x:f>
        <x:v>0</x:v>
      </x:c>
      <x:c r="T83" s="7" t="n">
        <x:f>'Web Designer'!Q27</x:f>
        <x:v>0</x:v>
      </x:c>
      <x:c r="U83" s="7" t="n">
        <x:f>'Web Designer'!R27</x:f>
        <x:v>0</x:v>
      </x:c>
      <x:c r="V83" s="7" t="str">
        <x:f>'Web Designer'!S27</x:f>
      </x:c>
      <x:c r="W83" s="7" t="str">
        <x:v>R14,R01</x:v>
      </x:c>
      <x:c r="X83" s="7" t="n">
        <x:f>'Web Designer'!$B$5</x:f>
        <x:v>0</x:v>
      </x:c>
      <x:c r="Y83" s="48" t="n">
        <x:f>'Web Designer'!V27</x:f>
        <x:v>0</x:v>
      </x:c>
      <x:c r="Z83" s="7" t="n">
        <x:f>'Web Designer'!U27</x:f>
        <x:v>0</x:v>
      </x:c>
    </x:row>
    <x:row r="84">
      <x:c r="A84" s="7" t="str">
        <x:v>UX-083</x:v>
      </x:c>
      <x:c r="B84" s="7" t="str">
        <x:v>Web Designer</x:v>
      </x:c>
      <x:c r="C84" s="7" t="str">
        <x:v>Editor</x:v>
      </x:c>
      <x:c r="D84" s="7" t="str">
        <x:v>Version History</x:v>
      </x:c>
      <x:c r="E84" s="7" t="str">
        <x:v>Restore prior design revision</x:v>
      </x:c>
      <x:c r="F84" s="7" t="str">
        <x:v>Designer should be able to compare/restore revisions after client changes or mistakes.</x:v>
      </x:c>
      <x:c r="G84" s="7" t="str">
        <x:v>Error recovery</x:v>
      </x:c>
      <x:c r="H84" s="7" t="str">
        <x:v>No site/template revision history is evident.</x:v>
      </x:c>
      <x:c r="I84" s="7" t="str">
        <x:v>Gap</x:v>
      </x:c>
      <x:c r="J84" s="7" t="str">
        <x:v>Add revisions for template/site canvas_json and restore workflow.</x:v>
      </x:c>
      <x:c r="K84" s="7" t="str">
        <x:v>Task-based usability</x:v>
      </x:c>
      <x:c r="L84" s="7" t="str">
        <x:v>P1</x:v>
      </x:c>
      <x:c r="M84" s="7" t="str">
        <x:v>Complete without facilitator; SEQ ≥5/7</x:v>
      </x:c>
      <x:c r="N84" s="7" t="str">
        <x:f>'Web Designer'!K28</x:f>
        <x:v>Not Tested</x:v>
      </x:c>
      <x:c r="O84" s="7" t="n">
        <x:f>'Web Designer'!L28</x:f>
        <x:v>0</x:v>
      </x:c>
      <x:c r="P84" s="7" t="n">
        <x:f>'Web Designer'!M28</x:f>
        <x:v>0</x:v>
      </x:c>
      <x:c r="Q84" s="7" t="n">
        <x:f>'Web Designer'!N28</x:f>
        <x:v>0</x:v>
      </x:c>
      <x:c r="R84" s="7" t="n">
        <x:f>'Web Designer'!O28</x:f>
        <x:v>0</x:v>
      </x:c>
      <x:c r="S84" s="7" t="n">
        <x:f>'Web Designer'!P28</x:f>
        <x:v>0</x:v>
      </x:c>
      <x:c r="T84" s="7" t="n">
        <x:f>'Web Designer'!Q28</x:f>
        <x:v>0</x:v>
      </x:c>
      <x:c r="U84" s="7" t="n">
        <x:f>'Web Designer'!R28</x:f>
        <x:v>0</x:v>
      </x:c>
      <x:c r="V84" s="7" t="str">
        <x:f>'Web Designer'!S28</x:f>
      </x:c>
      <x:c r="W84" s="7" t="str">
        <x:v>R13,R01</x:v>
      </x:c>
      <x:c r="X84" s="7" t="n">
        <x:f>'Web Designer'!$B$5</x:f>
        <x:v>0</x:v>
      </x:c>
      <x:c r="Y84" s="48" t="n">
        <x:f>'Web Designer'!V28</x:f>
        <x:v>0</x:v>
      </x:c>
      <x:c r="Z84" s="7" t="n">
        <x:f>'Web Designer'!U28</x:f>
        <x:v>0</x:v>
      </x:c>
    </x:row>
    <x:row r="85">
      <x:c r="A85" s="7" t="str">
        <x:v>UX-084</x:v>
      </x:c>
      <x:c r="B85" s="7" t="str">
        <x:v>Web Designer</x:v>
      </x:c>
      <x:c r="C85" s="7" t="str">
        <x:v>Editor</x:v>
      </x:c>
      <x:c r="D85" s="7" t="str">
        <x:v>Concurrent Editing</x:v>
      </x:c>
      <x:c r="E85" s="7" t="str">
        <x:v>Avoid overwriting another designer/admin session</x:v>
      </x:c>
      <x:c r="F85" s="7" t="str">
        <x:v>If multiple operators can edit same project, system should warn/lock or merge safely.</x:v>
      </x:c>
      <x:c r="G85" s="7" t="str">
        <x:v>Error prevention</x:v>
      </x:c>
      <x:c r="H85" s="7" t="str">
        <x:v>No edit locking/collision UI is evident.</x:v>
      </x:c>
      <x:c r="I85" s="7" t="str">
        <x:v>Gap</x:v>
      </x:c>
      <x:c r="J85" s="7" t="str">
        <x:v>Add edit presence/lock or optimistic version check before save.</x:v>
      </x:c>
      <x:c r="K85" s="7" t="str">
        <x:v>Task-based usability</x:v>
      </x:c>
      <x:c r="L85" s="7" t="str">
        <x:v>P1</x:v>
      </x:c>
      <x:c r="M85" s="7" t="str">
        <x:v>Complete without facilitator; SEQ ≥5/7</x:v>
      </x:c>
      <x:c r="N85" s="7" t="str">
        <x:f>'Web Designer'!K29</x:f>
        <x:v>Not Tested</x:v>
      </x:c>
      <x:c r="O85" s="7" t="n">
        <x:f>'Web Designer'!L29</x:f>
        <x:v>0</x:v>
      </x:c>
      <x:c r="P85" s="7" t="n">
        <x:f>'Web Designer'!M29</x:f>
        <x:v>0</x:v>
      </x:c>
      <x:c r="Q85" s="7" t="n">
        <x:f>'Web Designer'!N29</x:f>
        <x:v>0</x:v>
      </x:c>
      <x:c r="R85" s="7" t="n">
        <x:f>'Web Designer'!O29</x:f>
        <x:v>0</x:v>
      </x:c>
      <x:c r="S85" s="7" t="n">
        <x:f>'Web Designer'!P29</x:f>
        <x:v>0</x:v>
      </x:c>
      <x:c r="T85" s="7" t="n">
        <x:f>'Web Designer'!Q29</x:f>
        <x:v>0</x:v>
      </x:c>
      <x:c r="U85" s="7" t="n">
        <x:f>'Web Designer'!R29</x:f>
        <x:v>0</x:v>
      </x:c>
      <x:c r="V85" s="7" t="str">
        <x:f>'Web Designer'!S29</x:f>
      </x:c>
      <x:c r="W85" s="7" t="str">
        <x:v>R01,R14</x:v>
      </x:c>
      <x:c r="X85" s="7" t="n">
        <x:f>'Web Designer'!$B$5</x:f>
        <x:v>0</x:v>
      </x:c>
      <x:c r="Y85" s="48" t="n">
        <x:f>'Web Designer'!V29</x:f>
        <x:v>0</x:v>
      </x:c>
      <x:c r="Z85" s="7" t="n">
        <x:f>'Web Designer'!U29</x:f>
        <x:v>0</x:v>
      </x:c>
    </x:row>
    <x:row r="86">
      <x:c r="A86" s="7" t="str">
        <x:v>UX-085</x:v>
      </x:c>
      <x:c r="B86" s="7" t="str">
        <x:v>Web Designer</x:v>
      </x:c>
      <x:c r="C86" s="7" t="str">
        <x:v>Editor</x:v>
      </x:c>
      <x:c r="D86" s="7" t="str">
        <x:v>Save State</x:v>
      </x:c>
      <x:c r="E86" s="7" t="str">
        <x:v>Know Draft/Pending/Published context</x:v>
      </x:c>
      <x:c r="F86" s="7" t="str">
        <x:v>Status should always be visible and save action should use state-specific language.</x:v>
      </x:c>
      <x:c r="G86" s="7" t="str">
        <x:v>Visibility of status</x:v>
      </x:c>
      <x:c r="H86" s="7" t="str">
        <x:v>Template workspace says Save Template Draft; approval status exists elsewhere.</x:v>
      </x:c>
      <x:c r="I86" s="7" t="str">
        <x:v>Partial</x:v>
      </x:c>
      <x:c r="J86" s="7" t="str">
        <x:v>Display status chip in editor header and direct Submit for Approval action.</x:v>
      </x:c>
      <x:c r="K86" s="7" t="str">
        <x:v>Task-based usability</x:v>
      </x:c>
      <x:c r="L86" s="7" t="str">
        <x:v>P1</x:v>
      </x:c>
      <x:c r="M86" s="7" t="str">
        <x:v>Complete without facilitator; SEQ ≥5/7</x:v>
      </x:c>
      <x:c r="N86" s="7" t="str">
        <x:f>'Web Designer'!K30</x:f>
        <x:v>Not Tested</x:v>
      </x:c>
      <x:c r="O86" s="7" t="n">
        <x:f>'Web Designer'!L30</x:f>
        <x:v>0</x:v>
      </x:c>
      <x:c r="P86" s="7" t="n">
        <x:f>'Web Designer'!M30</x:f>
        <x:v>0</x:v>
      </x:c>
      <x:c r="Q86" s="7" t="n">
        <x:f>'Web Designer'!N30</x:f>
        <x:v>0</x:v>
      </x:c>
      <x:c r="R86" s="7" t="n">
        <x:f>'Web Designer'!O30</x:f>
        <x:v>0</x:v>
      </x:c>
      <x:c r="S86" s="7" t="n">
        <x:f>'Web Designer'!P30</x:f>
        <x:v>0</x:v>
      </x:c>
      <x:c r="T86" s="7" t="n">
        <x:f>'Web Designer'!Q30</x:f>
        <x:v>0</x:v>
      </x:c>
      <x:c r="U86" s="7" t="n">
        <x:f>'Web Designer'!R30</x:f>
        <x:v>0</x:v>
      </x:c>
      <x:c r="V86" s="7" t="str">
        <x:f>'Web Designer'!S30</x:f>
      </x:c>
      <x:c r="W86" s="7" t="str">
        <x:v>R01</x:v>
      </x:c>
      <x:c r="X86" s="7" t="n">
        <x:f>'Web Designer'!$B$5</x:f>
        <x:v>0</x:v>
      </x:c>
      <x:c r="Y86" s="48" t="n">
        <x:f>'Web Designer'!V30</x:f>
        <x:v>0</x:v>
      </x:c>
      <x:c r="Z86" s="7" t="n">
        <x:f>'Web Designer'!U30</x:f>
        <x:v>0</x:v>
      </x:c>
    </x:row>
    <x:row r="87">
      <x:c r="A87" s="7" t="str">
        <x:v>UX-086</x:v>
      </x:c>
      <x:c r="B87" s="7" t="str">
        <x:v>Web Designer</x:v>
      </x:c>
      <x:c r="C87" s="7" t="str">
        <x:v>Editor</x:v>
      </x:c>
      <x:c r="D87" s="7" t="str">
        <x:v>Media Upload</x:v>
      </x:c>
      <x:c r="E87" s="7" t="str">
        <x:v>Upload image/video/background safely</x:v>
      </x:c>
      <x:c r="F87" s="7" t="str">
        <x:v>Upload should validate type/size, show progress and actionable error state.</x:v>
      </x:c>
      <x:c r="G87" s="7" t="str">
        <x:v>Visibility; error recovery</x:v>
      </x:c>
      <x:c r="H87" s="7" t="str">
        <x:v>Backend MIME limits were hardened; client file limits exist.</x:v>
      </x:c>
      <x:c r="I87" s="7" t="str">
        <x:v>Partial</x:v>
      </x:c>
      <x:c r="J87" s="7" t="str">
        <x:v>Add progress, retry and file detail before upload completion.</x:v>
      </x:c>
      <x:c r="K87" s="7" t="str">
        <x:v>Task-based usability</x:v>
      </x:c>
      <x:c r="L87" s="7" t="str">
        <x:v>P1</x:v>
      </x:c>
      <x:c r="M87" s="7" t="str">
        <x:v>Complete without facilitator; SEQ ≥5/7</x:v>
      </x:c>
      <x:c r="N87" s="7" t="str">
        <x:f>'Web Designer'!K31</x:f>
        <x:v>Not Tested</x:v>
      </x:c>
      <x:c r="O87" s="7" t="n">
        <x:f>'Web Designer'!L31</x:f>
        <x:v>0</x:v>
      </x:c>
      <x:c r="P87" s="7" t="n">
        <x:f>'Web Designer'!M31</x:f>
        <x:v>0</x:v>
      </x:c>
      <x:c r="Q87" s="7" t="n">
        <x:f>'Web Designer'!N31</x:f>
        <x:v>0</x:v>
      </x:c>
      <x:c r="R87" s="7" t="n">
        <x:f>'Web Designer'!O31</x:f>
        <x:v>0</x:v>
      </x:c>
      <x:c r="S87" s="7" t="n">
        <x:f>'Web Designer'!P31</x:f>
        <x:v>0</x:v>
      </x:c>
      <x:c r="T87" s="7" t="n">
        <x:f>'Web Designer'!Q31</x:f>
        <x:v>0</x:v>
      </x:c>
      <x:c r="U87" s="7" t="n">
        <x:f>'Web Designer'!R31</x:f>
        <x:v>0</x:v>
      </x:c>
      <x:c r="V87" s="7" t="str">
        <x:f>'Web Designer'!S31</x:f>
      </x:c>
      <x:c r="W87" s="7" t="str">
        <x:v>R01</x:v>
      </x:c>
      <x:c r="X87" s="7" t="n">
        <x:f>'Web Designer'!$B$5</x:f>
        <x:v>0</x:v>
      </x:c>
      <x:c r="Y87" s="48" t="n">
        <x:f>'Web Designer'!V31</x:f>
        <x:v>0</x:v>
      </x:c>
      <x:c r="Z87" s="7" t="n">
        <x:f>'Web Designer'!U31</x:f>
        <x:v>0</x:v>
      </x:c>
    </x:row>
    <x:row r="88">
      <x:c r="A88" s="7" t="str">
        <x:v>UX-087</x:v>
      </x:c>
      <x:c r="B88" s="7" t="str">
        <x:v>Web Designer</x:v>
      </x:c>
      <x:c r="C88" s="7" t="str">
        <x:v>Editor</x:v>
      </x:c>
      <x:c r="D88" s="7" t="str">
        <x:v>Background Effects</x:v>
      </x:c>
      <x:c r="E88" s="7" t="str">
        <x:v>Configure motion without making site uncomfortable</x:v>
      </x:c>
      <x:c r="F88" s="7" t="str">
        <x:v>Motion presets should preview clearly and support reduced-motion fallback.</x:v>
      </x:c>
      <x:c r="G88" s="7" t="str">
        <x:v>User control/accessibility</x:v>
      </x:c>
      <x:c r="H88" s="7" t="str">
        <x:v>Zoom/Pan/Ken Burns and similar effects exist.</x:v>
      </x:c>
      <x:c r="I88" s="7" t="str">
        <x:v>Partial</x:v>
      </x:c>
      <x:c r="J88" s="7" t="str">
        <x:v>Add reduced-motion preview and intensity controls.</x:v>
      </x:c>
      <x:c r="K88" s="7" t="str">
        <x:v>Task-based usability</x:v>
      </x:c>
      <x:c r="L88" s="7" t="str">
        <x:v>P1</x:v>
      </x:c>
      <x:c r="M88" s="7" t="str">
        <x:v>Complete without facilitator; SEQ ≥5/7</x:v>
      </x:c>
      <x:c r="N88" s="7" t="str">
        <x:f>'Web Designer'!K32</x:f>
        <x:v>Not Tested</x:v>
      </x:c>
      <x:c r="O88" s="7" t="n">
        <x:f>'Web Designer'!L32</x:f>
        <x:v>0</x:v>
      </x:c>
      <x:c r="P88" s="7" t="n">
        <x:f>'Web Designer'!M32</x:f>
        <x:v>0</x:v>
      </x:c>
      <x:c r="Q88" s="7" t="n">
        <x:f>'Web Designer'!N32</x:f>
        <x:v>0</x:v>
      </x:c>
      <x:c r="R88" s="7" t="n">
        <x:f>'Web Designer'!O32</x:f>
        <x:v>0</x:v>
      </x:c>
      <x:c r="S88" s="7" t="n">
        <x:f>'Web Designer'!P32</x:f>
        <x:v>0</x:v>
      </x:c>
      <x:c r="T88" s="7" t="n">
        <x:f>'Web Designer'!Q32</x:f>
        <x:v>0</x:v>
      </x:c>
      <x:c r="U88" s="7" t="n">
        <x:f>'Web Designer'!R32</x:f>
        <x:v>0</x:v>
      </x:c>
      <x:c r="V88" s="7" t="str">
        <x:f>'Web Designer'!S32</x:f>
      </x:c>
      <x:c r="W88" s="7" t="str">
        <x:v>R03</x:v>
      </x:c>
      <x:c r="X88" s="7" t="n">
        <x:f>'Web Designer'!$B$5</x:f>
        <x:v>0</x:v>
      </x:c>
      <x:c r="Y88" s="48" t="n">
        <x:f>'Web Designer'!V32</x:f>
        <x:v>0</x:v>
      </x:c>
      <x:c r="Z88" s="7" t="n">
        <x:f>'Web Designer'!U32</x:f>
        <x:v>0</x:v>
      </x:c>
    </x:row>
    <x:row r="89">
      <x:c r="A89" s="7" t="str">
        <x:v>UX-088</x:v>
      </x:c>
      <x:c r="B89" s="7" t="str">
        <x:v>Web Designer</x:v>
      </x:c>
      <x:c r="C89" s="7" t="str">
        <x:v>Editor</x:v>
      </x:c>
      <x:c r="D89" s="7" t="str">
        <x:v>Buka Undangan</x:v>
      </x:c>
      <x:c r="E89" s="7" t="str">
        <x:v>Maintain first-Canvas-only rule</x:v>
      </x:c>
      <x:c r="F89" s="7" t="str">
        <x:v>Invalid placement should be prevented with explanation.</x:v>
      </x:c>
      <x:c r="G89" s="7" t="str">
        <x:v>Error prevention</x:v>
      </x:c>
      <x:c r="H89" s="7" t="str">
        <x:v>Feature is constrained to first Canvas.</x:v>
      </x:c>
      <x:c r="I89" s="7" t="str">
        <x:v>Meets</x:v>
      </x:c>
      <x:c r="J89" s="7" t="str">
        <x:v>Show rule explanation in disabled state rather than silent failure.</x:v>
      </x:c>
      <x:c r="K89" s="7" t="str">
        <x:v>Task-based usability</x:v>
      </x:c>
      <x:c r="L89" s="7" t="str">
        <x:v>P1</x:v>
      </x:c>
      <x:c r="M89" s="7" t="str">
        <x:v>Complete without facilitator; SEQ ≥5/7</x:v>
      </x:c>
      <x:c r="N89" s="7" t="str">
        <x:f>'Web Designer'!K33</x:f>
        <x:v>Not Tested</x:v>
      </x:c>
      <x:c r="O89" s="7" t="n">
        <x:f>'Web Designer'!L33</x:f>
        <x:v>0</x:v>
      </x:c>
      <x:c r="P89" s="7" t="n">
        <x:f>'Web Designer'!M33</x:f>
        <x:v>0</x:v>
      </x:c>
      <x:c r="Q89" s="7" t="n">
        <x:f>'Web Designer'!N33</x:f>
        <x:v>0</x:v>
      </x:c>
      <x:c r="R89" s="7" t="n">
        <x:f>'Web Designer'!O33</x:f>
        <x:v>0</x:v>
      </x:c>
      <x:c r="S89" s="7" t="n">
        <x:f>'Web Designer'!P33</x:f>
        <x:v>0</x:v>
      </x:c>
      <x:c r="T89" s="7" t="n">
        <x:f>'Web Designer'!Q33</x:f>
        <x:v>0</x:v>
      </x:c>
      <x:c r="U89" s="7" t="n">
        <x:f>'Web Designer'!R33</x:f>
        <x:v>0</x:v>
      </x:c>
      <x:c r="V89" s="7" t="str">
        <x:f>'Web Designer'!S33</x:f>
      </x:c>
      <x:c r="W89" s="7" t="str">
        <x:v>R01</x:v>
      </x:c>
      <x:c r="X89" s="7" t="n">
        <x:f>'Web Designer'!$B$5</x:f>
        <x:v>0</x:v>
      </x:c>
      <x:c r="Y89" s="48" t="n">
        <x:f>'Web Designer'!V33</x:f>
        <x:v>0</x:v>
      </x:c>
      <x:c r="Z89" s="7" t="n">
        <x:f>'Web Designer'!U33</x:f>
        <x:v>0</x:v>
      </x:c>
    </x:row>
    <x:row r="90">
      <x:c r="A90" s="7" t="str">
        <x:v>UX-089</x:v>
      </x:c>
      <x:c r="B90" s="7" t="str">
        <x:v>Web Designer</x:v>
      </x:c>
      <x:c r="C90" s="7" t="str">
        <x:v>Editor</x:v>
      </x:c>
      <x:c r="D90" s="7" t="str">
        <x:v>Gallery</x:v>
      </x:c>
      <x:c r="E90" s="7" t="str">
        <x:v>Curate images efficiently</x:v>
      </x:c>
      <x:c r="F90" s="7" t="str">
        <x:v>Designer needs batch upload, reorder, delete, preview and consistent crop/aspect controls.</x:v>
      </x:c>
      <x:c r="G90" s="7" t="str">
        <x:v>Efficiency; direct manipulation</x:v>
      </x:c>
      <x:c r="H90" s="7" t="str">
        <x:v>Multi-upload/delete/full-width/carousel are present.</x:v>
      </x:c>
      <x:c r="I90" s="7" t="str">
        <x:v>Partial</x:v>
      </x:c>
      <x:c r="J90" s="7" t="str">
        <x:v>Add drag reorder + crop/aspect focal point per image.</x:v>
      </x:c>
      <x:c r="K90" s="7" t="str">
        <x:v>Task-based usability</x:v>
      </x:c>
      <x:c r="L90" s="7" t="str">
        <x:v>P1</x:v>
      </x:c>
      <x:c r="M90" s="7" t="str">
        <x:v>Complete without facilitator; SEQ ≥5/7</x:v>
      </x:c>
      <x:c r="N90" s="7" t="str">
        <x:f>'Web Designer'!K34</x:f>
        <x:v>Not Tested</x:v>
      </x:c>
      <x:c r="O90" s="7" t="n">
        <x:f>'Web Designer'!L34</x:f>
        <x:v>0</x:v>
      </x:c>
      <x:c r="P90" s="7" t="n">
        <x:f>'Web Designer'!M34</x:f>
        <x:v>0</x:v>
      </x:c>
      <x:c r="Q90" s="7" t="n">
        <x:f>'Web Designer'!N34</x:f>
        <x:v>0</x:v>
      </x:c>
      <x:c r="R90" s="7" t="n">
        <x:f>'Web Designer'!O34</x:f>
        <x:v>0</x:v>
      </x:c>
      <x:c r="S90" s="7" t="n">
        <x:f>'Web Designer'!P34</x:f>
        <x:v>0</x:v>
      </x:c>
      <x:c r="T90" s="7" t="n">
        <x:f>'Web Designer'!Q34</x:f>
        <x:v>0</x:v>
      </x:c>
      <x:c r="U90" s="7" t="n">
        <x:f>'Web Designer'!R34</x:f>
        <x:v>0</x:v>
      </x:c>
      <x:c r="V90" s="7" t="str">
        <x:f>'Web Designer'!S34</x:f>
      </x:c>
      <x:c r="W90" s="7" t="str">
        <x:v>R01</x:v>
      </x:c>
      <x:c r="X90" s="7" t="n">
        <x:f>'Web Designer'!$B$5</x:f>
        <x:v>0</x:v>
      </x:c>
      <x:c r="Y90" s="48" t="n">
        <x:f>'Web Designer'!V34</x:f>
        <x:v>0</x:v>
      </x:c>
      <x:c r="Z90" s="7" t="n">
        <x:f>'Web Designer'!U34</x:f>
        <x:v>0</x:v>
      </x:c>
    </x:row>
    <x:row r="91">
      <x:c r="A91" s="7" t="str">
        <x:v>UX-090</x:v>
      </x:c>
      <x:c r="B91" s="7" t="str">
        <x:v>Web Designer</x:v>
      </x:c>
      <x:c r="C91" s="7" t="str">
        <x:v>Editor</x:v>
      </x:c>
      <x:c r="D91" s="7" t="str">
        <x:v>Sound</x:v>
      </x:c>
      <x:c r="E91" s="7" t="str">
        <x:v>Curate site sound</x:v>
      </x:c>
      <x:c r="F91" s="7" t="str">
        <x:v>Designer should preview catalog/upload, identify duration and remove sound quickly.</x:v>
      </x:c>
      <x:c r="G91" s="7" t="str">
        <x:v>Visibility; user control</x:v>
      </x:c>
      <x:c r="H91" s="7" t="str">
        <x:v>Sound library and upload/preset selection exist.</x:v>
      </x:c>
      <x:c r="I91" s="7" t="str">
        <x:v>Partial</x:v>
      </x:c>
      <x:c r="J91" s="7" t="str">
        <x:v>Show duration/file metadata, currently-playing state across selection changes.</x:v>
      </x:c>
      <x:c r="K91" s="7" t="str">
        <x:v>Task-based usability</x:v>
      </x:c>
      <x:c r="L91" s="7" t="str">
        <x:v>P1</x:v>
      </x:c>
      <x:c r="M91" s="7" t="str">
        <x:v>Complete without facilitator; SEQ ≥5/7</x:v>
      </x:c>
      <x:c r="N91" s="7" t="str">
        <x:f>'Web Designer'!K35</x:f>
        <x:v>Not Tested</x:v>
      </x:c>
      <x:c r="O91" s="7" t="n">
        <x:f>'Web Designer'!L35</x:f>
        <x:v>0</x:v>
      </x:c>
      <x:c r="P91" s="7" t="n">
        <x:f>'Web Designer'!M35</x:f>
        <x:v>0</x:v>
      </x:c>
      <x:c r="Q91" s="7" t="n">
        <x:f>'Web Designer'!N35</x:f>
        <x:v>0</x:v>
      </x:c>
      <x:c r="R91" s="7" t="n">
        <x:f>'Web Designer'!O35</x:f>
        <x:v>0</x:v>
      </x:c>
      <x:c r="S91" s="7" t="n">
        <x:f>'Web Designer'!P35</x:f>
        <x:v>0</x:v>
      </x:c>
      <x:c r="T91" s="7" t="n">
        <x:f>'Web Designer'!Q35</x:f>
        <x:v>0</x:v>
      </x:c>
      <x:c r="U91" s="7" t="n">
        <x:f>'Web Designer'!R35</x:f>
        <x:v>0</x:v>
      </x:c>
      <x:c r="V91" s="7" t="str">
        <x:f>'Web Designer'!S35</x:f>
      </x:c>
      <x:c r="W91" s="7" t="str">
        <x:v>R01</x:v>
      </x:c>
      <x:c r="X91" s="7" t="n">
        <x:f>'Web Designer'!$B$5</x:f>
        <x:v>0</x:v>
      </x:c>
      <x:c r="Y91" s="48" t="n">
        <x:f>'Web Designer'!V35</x:f>
        <x:v>0</x:v>
      </x:c>
      <x:c r="Z91" s="7" t="n">
        <x:f>'Web Designer'!U35</x:f>
        <x:v>0</x:v>
      </x:c>
    </x:row>
    <x:row r="92">
      <x:c r="A92" s="7" t="str">
        <x:v>UX-091</x:v>
      </x:c>
      <x:c r="B92" s="7" t="str">
        <x:v>Web Designer</x:v>
      </x:c>
      <x:c r="C92" s="7" t="str">
        <x:v>Content</x:v>
      </x:c>
      <x:c r="D92" s="7" t="str">
        <x:v>Article CMS</x:v>
      </x:c>
      <x:c r="E92" s="7" t="str">
        <x:v>Create/edit article if role permits</x:v>
      </x:c>
      <x:c r="F92" s="7" t="str">
        <x:v>Authoring role should have explicit content scope, drafts and safe publishing.</x:v>
      </x:c>
      <x:c r="G92" s="7" t="str">
        <x:v>Least privilege; reduce cognitive load</x:v>
      </x:c>
      <x:c r="H92" s="7" t="str">
        <x:v>Editor system role currently has articles.manage.</x:v>
      </x:c>
      <x:c r="I92" s="7" t="str">
        <x:v>Partial</x:v>
      </x:c>
      <x:c r="J92" s="7" t="str">
        <x:v>Confirm whether Web Designer truly needs Article CMS; remove permission if not part of job.</x:v>
      </x:c>
      <x:c r="K92" s="7" t="str">
        <x:v>Task-based usability</x:v>
      </x:c>
      <x:c r="L92" s="7" t="str">
        <x:v>P1</x:v>
      </x:c>
      <x:c r="M92" s="7" t="str">
        <x:v>Complete without facilitator; SEQ ≥5/7</x:v>
      </x:c>
      <x:c r="N92" s="7" t="str">
        <x:f>'Web Designer'!K36</x:f>
        <x:v>Not Tested</x:v>
      </x:c>
      <x:c r="O92" s="7" t="n">
        <x:f>'Web Designer'!L36</x:f>
        <x:v>0</x:v>
      </x:c>
      <x:c r="P92" s="7" t="n">
        <x:f>'Web Designer'!M36</x:f>
        <x:v>0</x:v>
      </x:c>
      <x:c r="Q92" s="7" t="n">
        <x:f>'Web Designer'!N36</x:f>
        <x:v>0</x:v>
      </x:c>
      <x:c r="R92" s="7" t="n">
        <x:f>'Web Designer'!O36</x:f>
        <x:v>0</x:v>
      </x:c>
      <x:c r="S92" s="7" t="n">
        <x:f>'Web Designer'!P36</x:f>
        <x:v>0</x:v>
      </x:c>
      <x:c r="T92" s="7" t="n">
        <x:f>'Web Designer'!Q36</x:f>
        <x:v>0</x:v>
      </x:c>
      <x:c r="U92" s="7" t="n">
        <x:f>'Web Designer'!R36</x:f>
        <x:v>0</x:v>
      </x:c>
      <x:c r="V92" s="7" t="str">
        <x:f>'Web Designer'!S36</x:f>
      </x:c>
      <x:c r="W92" s="7" t="str">
        <x:v>R15,R16</x:v>
      </x:c>
      <x:c r="X92" s="7" t="n">
        <x:f>'Web Designer'!$B$5</x:f>
        <x:v>0</x:v>
      </x:c>
      <x:c r="Y92" s="48" t="n">
        <x:f>'Web Designer'!V36</x:f>
        <x:v>0</x:v>
      </x:c>
      <x:c r="Z92" s="7" t="n">
        <x:f>'Web Designer'!U36</x:f>
        <x:v>0</x:v>
      </x:c>
    </x:row>
    <x:row r="93">
      <x:c r="A93" s="7" t="str">
        <x:v>UX-092</x:v>
      </x:c>
      <x:c r="B93" s="7" t="str">
        <x:v>Web Designer</x:v>
      </x:c>
      <x:c r="C93" s="7" t="str">
        <x:v>Content</x:v>
      </x:c>
      <x:c r="D93" s="7" t="str">
        <x:v>Article Revisions</x:v>
      </x:c>
      <x:c r="E93" s="7" t="str">
        <x:v>Recover article edits</x:v>
      </x:c>
      <x:c r="F93" s="7" t="str">
        <x:v>Rich content editing should autosave/revise content.</x:v>
      </x:c>
      <x:c r="G93" s="7" t="str">
        <x:v>Error recovery</x:v>
      </x:c>
      <x:c r="H93" s="7" t="str">
        <x:v>Article editor supports Draft/Publish but no revision history/autosave.</x:v>
      </x:c>
      <x:c r="I93" s="7" t="str">
        <x:v>Gap</x:v>
      </x:c>
      <x:c r="J93" s="7" t="str">
        <x:v>Add autosave + revisions or restrict article publishing to dedicated content role.</x:v>
      </x:c>
      <x:c r="K93" s="7" t="str">
        <x:v>Task-based usability</x:v>
      </x:c>
      <x:c r="L93" s="7" t="str">
        <x:v>P1</x:v>
      </x:c>
      <x:c r="M93" s="7" t="str">
        <x:v>Complete without facilitator; SEQ ≥5/7</x:v>
      </x:c>
      <x:c r="N93" s="7" t="str">
        <x:f>'Web Designer'!K37</x:f>
        <x:v>Not Tested</x:v>
      </x:c>
      <x:c r="O93" s="7" t="n">
        <x:f>'Web Designer'!L37</x:f>
        <x:v>0</x:v>
      </x:c>
      <x:c r="P93" s="7" t="n">
        <x:f>'Web Designer'!M37</x:f>
        <x:v>0</x:v>
      </x:c>
      <x:c r="Q93" s="7" t="n">
        <x:f>'Web Designer'!N37</x:f>
        <x:v>0</x:v>
      </x:c>
      <x:c r="R93" s="7" t="n">
        <x:f>'Web Designer'!O37</x:f>
        <x:v>0</x:v>
      </x:c>
      <x:c r="S93" s="7" t="n">
        <x:f>'Web Designer'!P37</x:f>
        <x:v>0</x:v>
      </x:c>
      <x:c r="T93" s="7" t="n">
        <x:f>'Web Designer'!Q37</x:f>
        <x:v>0</x:v>
      </x:c>
      <x:c r="U93" s="7" t="n">
        <x:f>'Web Designer'!R37</x:f>
        <x:v>0</x:v>
      </x:c>
      <x:c r="V93" s="7" t="str">
        <x:f>'Web Designer'!S37</x:f>
      </x:c>
      <x:c r="W93" s="7" t="str">
        <x:v>R13,R14</x:v>
      </x:c>
      <x:c r="X93" s="7" t="n">
        <x:f>'Web Designer'!$B$5</x:f>
        <x:v>0</x:v>
      </x:c>
      <x:c r="Y93" s="48" t="n">
        <x:f>'Web Designer'!V37</x:f>
        <x:v>0</x:v>
      </x:c>
      <x:c r="Z93" s="7" t="n">
        <x:f>'Web Designer'!U37</x:f>
        <x:v>0</x:v>
      </x:c>
    </x:row>
    <x:row r="94">
      <x:c r="A94" s="7" t="str">
        <x:v>UX-093</x:v>
      </x:c>
      <x:c r="B94" s="7" t="str">
        <x:v>Web Designer</x:v>
      </x:c>
      <x:c r="C94" s="7" t="str">
        <x:v>Tasks</x:v>
      </x:c>
      <x:c r="D94" s="7" t="str">
        <x:v>My Tasks</x:v>
      </x:c>
      <x:c r="E94" s="7" t="str">
        <x:v>See order/build tasks assigned to self</x:v>
      </x:c>
      <x:c r="F94" s="7" t="str">
        <x:v>Task list should default to own actionable work, expose priority/status and support quick updates.</x:v>
      </x:c>
      <x:c r="G94" s="7" t="str">
        <x:v>Efficiency; visibility</x:v>
      </x:c>
      <x:c r="H94" s="7" t="str">
        <x:v>Backend scopes tasks to assigned user/role; task board shows priority/status.</x:v>
      </x:c>
      <x:c r="I94" s="7" t="str">
        <x:v>Meets</x:v>
      </x:c>
      <x:c r="J94" s="7" t="str">
        <x:v>Add due date, sort and search for scale.</x:v>
      </x:c>
      <x:c r="K94" s="7" t="str">
        <x:v>Task-based usability</x:v>
      </x:c>
      <x:c r="L94" s="7" t="str">
        <x:v>P1</x:v>
      </x:c>
      <x:c r="M94" s="7" t="str">
        <x:v>Complete without facilitator; SEQ ≥5/7</x:v>
      </x:c>
      <x:c r="N94" s="7" t="str">
        <x:f>'Web Designer'!K38</x:f>
        <x:v>Not Tested</x:v>
      </x:c>
      <x:c r="O94" s="7" t="n">
        <x:f>'Web Designer'!L38</x:f>
        <x:v>0</x:v>
      </x:c>
      <x:c r="P94" s="7" t="n">
        <x:f>'Web Designer'!M38</x:f>
        <x:v>0</x:v>
      </x:c>
      <x:c r="Q94" s="7" t="n">
        <x:f>'Web Designer'!N38</x:f>
        <x:v>0</x:v>
      </x:c>
      <x:c r="R94" s="7" t="n">
        <x:f>'Web Designer'!O38</x:f>
        <x:v>0</x:v>
      </x:c>
      <x:c r="S94" s="7" t="n">
        <x:f>'Web Designer'!P38</x:f>
        <x:v>0</x:v>
      </x:c>
      <x:c r="T94" s="7" t="n">
        <x:f>'Web Designer'!Q38</x:f>
        <x:v>0</x:v>
      </x:c>
      <x:c r="U94" s="7" t="n">
        <x:f>'Web Designer'!R38</x:f>
        <x:v>0</x:v>
      </x:c>
      <x:c r="V94" s="7" t="str">
        <x:f>'Web Designer'!S38</x:f>
      </x:c>
      <x:c r="W94" s="7" t="str">
        <x:v>R01</x:v>
      </x:c>
      <x:c r="X94" s="7" t="n">
        <x:f>'Web Designer'!$B$5</x:f>
        <x:v>0</x:v>
      </x:c>
      <x:c r="Y94" s="48" t="n">
        <x:f>'Web Designer'!V38</x:f>
        <x:v>0</x:v>
      </x:c>
      <x:c r="Z94" s="7" t="n">
        <x:f>'Web Designer'!U38</x:f>
        <x:v>0</x:v>
      </x:c>
    </x:row>
    <x:row r="95">
      <x:c r="A95" s="7" t="str">
        <x:v>UX-094</x:v>
      </x:c>
      <x:c r="B95" s="7" t="str">
        <x:v>Web Designer</x:v>
      </x:c>
      <x:c r="C95" s="7" t="str">
        <x:v>Tasks</x:v>
      </x:c>
      <x:c r="D95" s="7" t="str">
        <x:v>Task Status</x:v>
      </x:c>
      <x:c r="E95" s="7" t="str">
        <x:v>Update Open → In Progress → Waiting Customer → Done</x:v>
      </x:c>
      <x:c r="F95" s="7" t="str">
        <x:v>State choices should map to actual operational workflow and require reason where useful.</x:v>
      </x:c>
      <x:c r="G95" s="7" t="str">
        <x:v>Visibility; accountability</x:v>
      </x:c>
      <x:c r="H95" s="7" t="str">
        <x:v>Task status selector supports these states plus Cancelled.</x:v>
      </x:c>
      <x:c r="I95" s="7" t="str">
        <x:v>Partial</x:v>
      </x:c>
      <x:c r="J95" s="7" t="str">
        <x:v>Add activity history, comments and required note for Cancelled/Waiting Customer.</x:v>
      </x:c>
      <x:c r="K95" s="7" t="str">
        <x:v>Task-based usability</x:v>
      </x:c>
      <x:c r="L95" s="7" t="str">
        <x:v>P1</x:v>
      </x:c>
      <x:c r="M95" s="7" t="str">
        <x:v>Complete without facilitator; SEQ ≥5/7</x:v>
      </x:c>
      <x:c r="N95" s="7" t="str">
        <x:f>'Web Designer'!K39</x:f>
        <x:v>Not Tested</x:v>
      </x:c>
      <x:c r="O95" s="7" t="n">
        <x:f>'Web Designer'!L39</x:f>
        <x:v>0</x:v>
      </x:c>
      <x:c r="P95" s="7" t="n">
        <x:f>'Web Designer'!M39</x:f>
        <x:v>0</x:v>
      </x:c>
      <x:c r="Q95" s="7" t="n">
        <x:f>'Web Designer'!N39</x:f>
        <x:v>0</x:v>
      </x:c>
      <x:c r="R95" s="7" t="n">
        <x:f>'Web Designer'!O39</x:f>
        <x:v>0</x:v>
      </x:c>
      <x:c r="S95" s="7" t="n">
        <x:f>'Web Designer'!P39</x:f>
        <x:v>0</x:v>
      </x:c>
      <x:c r="T95" s="7" t="n">
        <x:f>'Web Designer'!Q39</x:f>
        <x:v>0</x:v>
      </x:c>
      <x:c r="U95" s="7" t="n">
        <x:f>'Web Designer'!R39</x:f>
        <x:v>0</x:v>
      </x:c>
      <x:c r="V95" s="7" t="str">
        <x:f>'Web Designer'!S39</x:f>
      </x:c>
      <x:c r="W95" s="7" t="str">
        <x:v>R01</x:v>
      </x:c>
      <x:c r="X95" s="7" t="n">
        <x:f>'Web Designer'!$B$5</x:f>
        <x:v>0</x:v>
      </x:c>
      <x:c r="Y95" s="48" t="n">
        <x:f>'Web Designer'!V39</x:f>
        <x:v>0</x:v>
      </x:c>
      <x:c r="Z95" s="7" t="n">
        <x:f>'Web Designer'!U39</x:f>
        <x:v>0</x:v>
      </x:c>
    </x:row>
    <x:row r="96">
      <x:c r="A96" s="7" t="str">
        <x:v>UX-095</x:v>
      </x:c>
      <x:c r="B96" s="7" t="str">
        <x:v>Web Designer</x:v>
      </x:c>
      <x:c r="C96" s="7" t="str">
        <x:v>Messaging</x:v>
      </x:c>
      <x:c r="D96" s="7" t="str">
        <x:v>Outbound</x:v>
      </x:c>
      <x:c r="E96" s="7" t="str">
        <x:v>Message assigned Customer</x:v>
      </x:c>
      <x:c r="F96" s="7" t="str">
        <x:v>Designer messaging should be contextual to project/customer and respect role scope.</x:v>
      </x:c>
      <x:c r="G96" s="7" t="str">
        <x:v>Least privilege; context</x:v>
      </x:c>
      <x:c r="H96" s="7" t="str">
        <x:v>Editor has conversations.outbound and can message users.</x:v>
      </x:c>
      <x:c r="I96" s="7" t="str">
        <x:v>Partial</x:v>
      </x:c>
      <x:c r="J96" s="7" t="str">
        <x:v>Launch message from Client/Task context and constrain recipients to assigned clients unless business needs broader access.</x:v>
      </x:c>
      <x:c r="K96" s="7" t="str">
        <x:v>Task-based usability</x:v>
      </x:c>
      <x:c r="L96" s="7" t="str">
        <x:v>P1</x:v>
      </x:c>
      <x:c r="M96" s="7" t="str">
        <x:v>Complete without facilitator; SEQ ≥5/7</x:v>
      </x:c>
      <x:c r="N96" s="7" t="str">
        <x:f>'Web Designer'!K40</x:f>
        <x:v>Not Tested</x:v>
      </x:c>
      <x:c r="O96" s="7" t="n">
        <x:f>'Web Designer'!L40</x:f>
        <x:v>0</x:v>
      </x:c>
      <x:c r="P96" s="7" t="n">
        <x:f>'Web Designer'!M40</x:f>
        <x:v>0</x:v>
      </x:c>
      <x:c r="Q96" s="7" t="n">
        <x:f>'Web Designer'!N40</x:f>
        <x:v>0</x:v>
      </x:c>
      <x:c r="R96" s="7" t="n">
        <x:f>'Web Designer'!O40</x:f>
        <x:v>0</x:v>
      </x:c>
      <x:c r="S96" s="7" t="n">
        <x:f>'Web Designer'!P40</x:f>
        <x:v>0</x:v>
      </x:c>
      <x:c r="T96" s="7" t="n">
        <x:f>'Web Designer'!Q40</x:f>
        <x:v>0</x:v>
      </x:c>
      <x:c r="U96" s="7" t="n">
        <x:f>'Web Designer'!R40</x:f>
        <x:v>0</x:v>
      </x:c>
      <x:c r="V96" s="7" t="str">
        <x:f>'Web Designer'!S40</x:f>
      </x:c>
      <x:c r="W96" s="7" t="str">
        <x:v>R15,R16</x:v>
      </x:c>
      <x:c r="X96" s="7" t="n">
        <x:f>'Web Designer'!$B$5</x:f>
        <x:v>0</x:v>
      </x:c>
      <x:c r="Y96" s="48" t="n">
        <x:f>'Web Designer'!V40</x:f>
        <x:v>0</x:v>
      </x:c>
      <x:c r="Z96" s="7" t="n">
        <x:f>'Web Designer'!U40</x:f>
        <x:v>0</x:v>
      </x:c>
    </x:row>
    <x:row r="97">
      <x:c r="A97" s="7" t="str">
        <x:v>UX-096</x:v>
      </x:c>
      <x:c r="B97" s="7" t="str">
        <x:v>Web Designer</x:v>
      </x:c>
      <x:c r="C97" s="7" t="str">
        <x:v>Messaging</x:v>
      </x:c>
      <x:c r="D97" s="7" t="str">
        <x:v>Support Inbox</x:v>
      </x:c>
      <x:c r="E97" s="7" t="str">
        <x:v>Decide whether full support inbox is useful for Designer</x:v>
      </x:c>
      <x:c r="F97" s="7" t="str">
        <x:v>Role should only expose tools needed for design workflow; unnecessary support queues increase complexity and access.</x:v>
      </x:c>
      <x:c r="G97" s="7" t="str">
        <x:v>Least privilege; cognitive load</x:v>
      </x:c>
      <x:c r="H97" s="7" t="str">
        <x:v>Editor currently has conversations.view/reply and dashboard quick action opens support inbox.</x:v>
      </x:c>
      <x:c r="I97" s="7" t="str">
        <x:v>Gap</x:v>
      </x:c>
      <x:c r="J97" s="7" t="str">
        <x:v>Default Web Designer to project conversations/assigned customers, not the full CS inbox; make broader support permission optional.</x:v>
      </x:c>
      <x:c r="K97" s="7" t="str">
        <x:v>Task-based usability</x:v>
      </x:c>
      <x:c r="L97" s="7" t="str">
        <x:v>P1</x:v>
      </x:c>
      <x:c r="M97" s="7" t="str">
        <x:v>Complete without facilitator; SEQ ≥5/7</x:v>
      </x:c>
      <x:c r="N97" s="7" t="str">
        <x:f>'Web Designer'!K41</x:f>
        <x:v>Not Tested</x:v>
      </x:c>
      <x:c r="O97" s="7" t="n">
        <x:f>'Web Designer'!L41</x:f>
        <x:v>0</x:v>
      </x:c>
      <x:c r="P97" s="7" t="n">
        <x:f>'Web Designer'!M41</x:f>
        <x:v>0</x:v>
      </x:c>
      <x:c r="Q97" s="7" t="n">
        <x:f>'Web Designer'!N41</x:f>
        <x:v>0</x:v>
      </x:c>
      <x:c r="R97" s="7" t="n">
        <x:f>'Web Designer'!O41</x:f>
        <x:v>0</x:v>
      </x:c>
      <x:c r="S97" s="7" t="n">
        <x:f>'Web Designer'!P41</x:f>
        <x:v>0</x:v>
      </x:c>
      <x:c r="T97" s="7" t="n">
        <x:f>'Web Designer'!Q41</x:f>
        <x:v>0</x:v>
      </x:c>
      <x:c r="U97" s="7" t="n">
        <x:f>'Web Designer'!R41</x:f>
        <x:v>0</x:v>
      </x:c>
      <x:c r="V97" s="7" t="str">
        <x:f>'Web Designer'!S41</x:f>
      </x:c>
      <x:c r="W97" s="7" t="str">
        <x:v>R15,R16,R01</x:v>
      </x:c>
      <x:c r="X97" s="7" t="n">
        <x:f>'Web Designer'!$B$5</x:f>
        <x:v>0</x:v>
      </x:c>
      <x:c r="Y97" s="48" t="n">
        <x:f>'Web Designer'!V41</x:f>
        <x:v>0</x:v>
      </x:c>
      <x:c r="Z97" s="7" t="n">
        <x:f>'Web Designer'!U41</x:f>
        <x:v>0</x:v>
      </x:c>
    </x:row>
    <x:row r="98">
      <x:c r="A98" s="7" t="str">
        <x:v>UX-097</x:v>
      </x:c>
      <x:c r="B98" s="7" t="str">
        <x:v>Web Designer</x:v>
      </x:c>
      <x:c r="C98" s="7" t="str">
        <x:v>Notifications</x:v>
      </x:c>
      <x:c r="D98" s="7" t="str">
        <x:v>Alerts</x:v>
      </x:c>
      <x:c r="E98" s="7" t="str">
        <x:v>Notice new task/rejection/customer reply without distraction</x:v>
      </x:c>
      <x:c r="F98" s="7" t="str">
        <x:v>Notifications should be actionable, configurable and linked to the item.</x:v>
      </x:c>
      <x:c r="G98" s="7" t="str">
        <x:v>Visibility; user control</x:v>
      </x:c>
      <x:c r="H98" s="7" t="str">
        <x:v>Sound notification exists with mute preference.</x:v>
      </x:c>
      <x:c r="I98" s="7" t="str">
        <x:v>Partial</x:v>
      </x:c>
      <x:c r="J98" s="7" t="str">
        <x:v>Add visual notification center/unread badge and deep link; keep sound optional.</x:v>
      </x:c>
      <x:c r="K98" s="7" t="str">
        <x:v>Task-based usability</x:v>
      </x:c>
      <x:c r="L98" s="7" t="str">
        <x:v>P1</x:v>
      </x:c>
      <x:c r="M98" s="7" t="str">
        <x:v>Complete without facilitator; SEQ ≥5/7</x:v>
      </x:c>
      <x:c r="N98" s="7" t="str">
        <x:f>'Web Designer'!K42</x:f>
        <x:v>Not Tested</x:v>
      </x:c>
      <x:c r="O98" s="7" t="n">
        <x:f>'Web Designer'!L42</x:f>
        <x:v>0</x:v>
      </x:c>
      <x:c r="P98" s="7" t="n">
        <x:f>'Web Designer'!M42</x:f>
        <x:v>0</x:v>
      </x:c>
      <x:c r="Q98" s="7" t="n">
        <x:f>'Web Designer'!N42</x:f>
        <x:v>0</x:v>
      </x:c>
      <x:c r="R98" s="7" t="n">
        <x:f>'Web Designer'!O42</x:f>
        <x:v>0</x:v>
      </x:c>
      <x:c r="S98" s="7" t="n">
        <x:f>'Web Designer'!P42</x:f>
        <x:v>0</x:v>
      </x:c>
      <x:c r="T98" s="7" t="n">
        <x:f>'Web Designer'!Q42</x:f>
        <x:v>0</x:v>
      </x:c>
      <x:c r="U98" s="7" t="n">
        <x:f>'Web Designer'!R42</x:f>
        <x:v>0</x:v>
      </x:c>
      <x:c r="V98" s="7" t="str">
        <x:f>'Web Designer'!S42</x:f>
      </x:c>
      <x:c r="W98" s="7" t="str">
        <x:v>R01</x:v>
      </x:c>
      <x:c r="X98" s="7" t="n">
        <x:f>'Web Designer'!$B$5</x:f>
        <x:v>0</x:v>
      </x:c>
      <x:c r="Y98" s="48" t="n">
        <x:f>'Web Designer'!V42</x:f>
        <x:v>0</x:v>
      </x:c>
      <x:c r="Z98" s="7" t="n">
        <x:f>'Web Designer'!U42</x:f>
        <x:v>0</x:v>
      </x:c>
    </x:row>
    <x:row r="99">
      <x:c r="A99" s="7" t="str">
        <x:v>UX-098</x:v>
      </x:c>
      <x:c r="B99" s="7" t="str">
        <x:v>Web Designer</x:v>
      </x:c>
      <x:c r="C99" s="7" t="str">
        <x:v>Accessibility</x:v>
      </x:c>
      <x:c r="D99" s="7" t="str">
        <x:v>Keyboard</x:v>
      </x:c>
      <x:c r="E99" s="7" t="str">
        <x:v>Complete core editor tasks without mouse-only dependency</x:v>
      </x:c>
      <x:c r="F99" s="7" t="str">
        <x:v>Keyboard must reach controls; drag operations need alternatives; focus should not disappear in complex editor.</x:v>
      </x:c>
      <x:c r="G99" s="7" t="str">
        <x:v>Keyboard/accessibility</x:v>
      </x:c>
      <x:c r="H99" s="7" t="str">
        <x:v>Move buttons and click-to-add help, but full editor keyboard/focus audit is not established.</x:v>
      </x:c>
      <x:c r="I99" s="7" t="str">
        <x:v>Needs User Test</x:v>
      </x:c>
      <x:c r="J99" s="7" t="str">
        <x:v>Keyboard-only: select Canvas → add feature → edit → preview → save.</x:v>
      </x:c>
      <x:c r="K99" s="7" t="str">
        <x:v>WCAG manual</x:v>
      </x:c>
      <x:c r="L99" s="7" t="str">
        <x:v>P0</x:v>
      </x:c>
      <x:c r="M99" s="7" t="str">
        <x:v>Complete without facilitator; SEQ ≥5/7</x:v>
      </x:c>
      <x:c r="N99" s="7" t="str">
        <x:f>'Web Designer'!K43</x:f>
        <x:v>Not Tested</x:v>
      </x:c>
      <x:c r="O99" s="7" t="n">
        <x:f>'Web Designer'!L43</x:f>
        <x:v>0</x:v>
      </x:c>
      <x:c r="P99" s="7" t="n">
        <x:f>'Web Designer'!M43</x:f>
        <x:v>0</x:v>
      </x:c>
      <x:c r="Q99" s="7" t="n">
        <x:f>'Web Designer'!N43</x:f>
        <x:v>0</x:v>
      </x:c>
      <x:c r="R99" s="7" t="n">
        <x:f>'Web Designer'!O43</x:f>
        <x:v>0</x:v>
      </x:c>
      <x:c r="S99" s="7" t="n">
        <x:f>'Web Designer'!P43</x:f>
        <x:v>0</x:v>
      </x:c>
      <x:c r="T99" s="7" t="n">
        <x:f>'Web Designer'!Q43</x:f>
        <x:v>0</x:v>
      </x:c>
      <x:c r="U99" s="7" t="n">
        <x:f>'Web Designer'!R43</x:f>
        <x:v>0</x:v>
      </x:c>
      <x:c r="V99" s="7" t="n">
        <x:f>'Web Designer'!S43</x:f>
        <x:v>0</x:v>
      </x:c>
      <x:c r="W99" s="7" t="str">
        <x:v>R03,R04,R05</x:v>
      </x:c>
      <x:c r="X99" s="7" t="n">
        <x:f>'Web Designer'!$B$5</x:f>
        <x:v>0</x:v>
      </x:c>
      <x:c r="Y99" s="48" t="n">
        <x:f>'Web Designer'!V43</x:f>
        <x:v>0</x:v>
      </x:c>
      <x:c r="Z99" s="7" t="n">
        <x:f>'Web Designer'!U43</x:f>
        <x:v>0</x:v>
      </x:c>
    </x:row>
    <x:row r="100">
      <x:c r="A100" s="7" t="str">
        <x:v>UX-099</x:v>
      </x:c>
      <x:c r="B100" s="7" t="str">
        <x:v>Administrator</x:v>
      </x:c>
      <x:c r="C100" s="7" t="str">
        <x:v>Identity</x:v>
      </x:c>
      <x:c r="D100" s="7" t="str">
        <x:v>Role Language</x:v>
      </x:c>
      <x:c r="E100" s="7" t="str">
        <x:v>See Administrator terminology instead of technical Superadmin labels</x:v>
      </x:c>
      <x:c r="F100" s="7" t="str">
        <x:v>Operational naming should match organization terminology; elevated privileges can remain an internal implementation detail.</x:v>
      </x:c>
      <x:c r="G100" s="7" t="str">
        <x:v>Consistency</x:v>
      </x:c>
      <x:c r="H100" s="7" t="str">
        <x:v>UI uses Admin, Platform Admin and SUPERADMIN interchangeably.</x:v>
      </x:c>
      <x:c r="I100" s="7" t="str">
        <x:v>Gap</x:v>
      </x:c>
      <x:c r="J100" s="7" t="str">
        <x:v>Standardize visible role as Administrator; reserve 'Superadmin' only for permission tier if truly required.</x:v>
      </x:c>
      <x:c r="K100" s="7" t="str">
        <x:v>Task-based usability</x:v>
      </x:c>
      <x:c r="L100" s="7" t="str">
        <x:v>P0</x:v>
      </x:c>
      <x:c r="M100" s="7" t="str">
        <x:v>Complete without facilitator; SEQ ≥5/7</x:v>
      </x:c>
      <x:c r="N100" s="7" t="str">
        <x:f>'Administrator'!K10</x:f>
        <x:v>Not Tested</x:v>
      </x:c>
      <x:c r="O100" s="7" t="n">
        <x:f>'Administrator'!L10</x:f>
        <x:v>0</x:v>
      </x:c>
      <x:c r="P100" s="7" t="n">
        <x:f>'Administrator'!M10</x:f>
        <x:v>0</x:v>
      </x:c>
      <x:c r="Q100" s="7" t="n">
        <x:f>'Administrator'!N10</x:f>
        <x:v>0</x:v>
      </x:c>
      <x:c r="R100" s="7" t="n">
        <x:f>'Administrator'!O10</x:f>
        <x:v>0</x:v>
      </x:c>
      <x:c r="S100" s="7" t="n">
        <x:f>'Administrator'!P10</x:f>
        <x:v>0</x:v>
      </x:c>
      <x:c r="T100" s="7" t="n">
        <x:f>'Administrator'!Q10</x:f>
        <x:v>0</x:v>
      </x:c>
      <x:c r="U100" s="7" t="n">
        <x:f>'Administrator'!R10</x:f>
        <x:v>0</x:v>
      </x:c>
      <x:c r="V100" s="7" t="str">
        <x:f>'Administrator'!S10</x:f>
      </x:c>
      <x:c r="W100" s="7" t="str">
        <x:v>R01</x:v>
      </x:c>
      <x:c r="X100" s="7" t="n">
        <x:f>'Administrator'!$B$5</x:f>
        <x:v>0</x:v>
      </x:c>
      <x:c r="Y100" s="48" t="n">
        <x:f>'Administrator'!V10</x:f>
        <x:v>0</x:v>
      </x:c>
      <x:c r="Z100" s="7" t="n">
        <x:f>'Administrator'!U10</x:f>
        <x:v>0</x:v>
      </x:c>
    </x:row>
    <x:row r="101">
      <x:c r="A101" s="7" t="str">
        <x:v>UX-100</x:v>
      </x:c>
      <x:c r="B101" s="7" t="str">
        <x:v>Administrator</x:v>
      </x:c>
      <x:c r="C101" s="7" t="str">
        <x:v>Dashboard</x:v>
      </x:c>
      <x:c r="D101" s="7" t="str">
        <x:v>Overview</x:v>
      </x:c>
      <x:c r="E101" s="7" t="str">
        <x:v>Identify the most urgent operational items</x:v>
      </x:c>
      <x:c r="F101" s="7" t="str">
        <x:v>Admin overview should prioritize exceptions: pending approvals, failed payments/emails, open tasks, support backlog, revenue anomalies.</x:v>
      </x:c>
      <x:c r="G101" s="7" t="str">
        <x:v>Visibility; actionable dashboards</x:v>
      </x:c>
      <x:c r="H101" s="7" t="str">
        <x:v>Overview has accounts/templates/articles/revenue and action cards for approvals/payment/articles/orders/CS.</x:v>
      </x:c>
      <x:c r="I101" s="7" t="str">
        <x:v>Partial</x:v>
      </x:c>
      <x:c r="J101" s="7" t="str">
        <x:v>Add exception-oriented alerts and failed email/payment/system health rather than only aggregate counts.</x:v>
      </x:c>
      <x:c r="K101" s="7" t="str">
        <x:v>Task-based usability</x:v>
      </x:c>
      <x:c r="L101" s="7" t="str">
        <x:v>P1</x:v>
      </x:c>
      <x:c r="M101" s="7" t="str">
        <x:v>Complete without facilitator; SEQ ≥5/7</x:v>
      </x:c>
      <x:c r="N101" s="7" t="str">
        <x:f>'Administrator'!K11</x:f>
        <x:v>Not Tested</x:v>
      </x:c>
      <x:c r="O101" s="7" t="n">
        <x:f>'Administrator'!L11</x:f>
        <x:v>0</x:v>
      </x:c>
      <x:c r="P101" s="7" t="n">
        <x:f>'Administrator'!M11</x:f>
        <x:v>0</x:v>
      </x:c>
      <x:c r="Q101" s="7" t="n">
        <x:f>'Administrator'!N11</x:f>
        <x:v>0</x:v>
      </x:c>
      <x:c r="R101" s="7" t="n">
        <x:f>'Administrator'!O11</x:f>
        <x:v>0</x:v>
      </x:c>
      <x:c r="S101" s="7" t="n">
        <x:f>'Administrator'!P11</x:f>
        <x:v>0</x:v>
      </x:c>
      <x:c r="T101" s="7" t="n">
        <x:f>'Administrator'!Q11</x:f>
        <x:v>0</x:v>
      </x:c>
      <x:c r="U101" s="7" t="n">
        <x:f>'Administrator'!R11</x:f>
        <x:v>0</x:v>
      </x:c>
      <x:c r="V101" s="7" t="str">
        <x:f>'Administrator'!S11</x:f>
      </x:c>
      <x:c r="W101" s="7" t="str">
        <x:v>R01</x:v>
      </x:c>
      <x:c r="X101" s="7" t="n">
        <x:f>'Administrator'!$B$5</x:f>
        <x:v>0</x:v>
      </x:c>
      <x:c r="Y101" s="48" t="n">
        <x:f>'Administrator'!V11</x:f>
        <x:v>0</x:v>
      </x:c>
      <x:c r="Z101" s="7" t="n">
        <x:f>'Administrator'!U11</x:f>
        <x:v>0</x:v>
      </x:c>
    </x:row>
    <x:row r="102">
      <x:c r="A102" s="7" t="str">
        <x:v>UX-101</x:v>
      </x:c>
      <x:c r="B102" s="7" t="str">
        <x:v>Administrator</x:v>
      </x:c>
      <x:c r="C102" s="7" t="str">
        <x:v>Dashboard</x:v>
      </x:c>
      <x:c r="D102" s="7" t="str">
        <x:v>Drilldown</x:v>
      </x:c>
      <x:c r="E102" s="7" t="str">
        <x:v>Click metrics to reach underlying records</x:v>
      </x:c>
      <x:c r="F102" s="7" t="str">
        <x:v>Dashboard metrics should lead directly to filtered data used to calculate them.</x:v>
      </x:c>
      <x:c r="G102" s="7" t="str">
        <x:v>Efficiency; visibility</x:v>
      </x:c>
      <x:c r="H102" s="7" t="str">
        <x:v>Action cards drill to several modules; top stat cards are not clearly interactive.</x:v>
      </x:c>
      <x:c r="I102" s="7" t="str">
        <x:v>Partial</x:v>
      </x:c>
      <x:c r="J102" s="7" t="str">
        <x:v>Make all meaningful KPIs clickable with applied filter/time window.</x:v>
      </x:c>
      <x:c r="K102" s="7" t="str">
        <x:v>Task-based usability</x:v>
      </x:c>
      <x:c r="L102" s="7" t="str">
        <x:v>P1</x:v>
      </x:c>
      <x:c r="M102" s="7" t="str">
        <x:v>Complete without facilitator; SEQ ≥5/7</x:v>
      </x:c>
      <x:c r="N102" s="7" t="str">
        <x:f>'Administrator'!K12</x:f>
        <x:v>Not Tested</x:v>
      </x:c>
      <x:c r="O102" s="7" t="n">
        <x:f>'Administrator'!L12</x:f>
        <x:v>0</x:v>
      </x:c>
      <x:c r="P102" s="7" t="n">
        <x:f>'Administrator'!M12</x:f>
        <x:v>0</x:v>
      </x:c>
      <x:c r="Q102" s="7" t="n">
        <x:f>'Administrator'!N12</x:f>
        <x:v>0</x:v>
      </x:c>
      <x:c r="R102" s="7" t="n">
        <x:f>'Administrator'!O12</x:f>
        <x:v>0</x:v>
      </x:c>
      <x:c r="S102" s="7" t="n">
        <x:f>'Administrator'!P12</x:f>
        <x:v>0</x:v>
      </x:c>
      <x:c r="T102" s="7" t="n">
        <x:f>'Administrator'!Q12</x:f>
        <x:v>0</x:v>
      </x:c>
      <x:c r="U102" s="7" t="n">
        <x:f>'Administrator'!R12</x:f>
        <x:v>0</x:v>
      </x:c>
      <x:c r="V102" s="7" t="str">
        <x:f>'Administrator'!S12</x:f>
      </x:c>
      <x:c r="W102" s="7" t="str">
        <x:v>R01</x:v>
      </x:c>
      <x:c r="X102" s="7" t="n">
        <x:f>'Administrator'!$B$5</x:f>
        <x:v>0</x:v>
      </x:c>
      <x:c r="Y102" s="48" t="n">
        <x:f>'Administrator'!V12</x:f>
        <x:v>0</x:v>
      </x:c>
      <x:c r="Z102" s="7" t="n">
        <x:f>'Administrator'!U12</x:f>
        <x:v>0</x:v>
      </x:c>
    </x:row>
    <x:row r="103">
      <x:c r="A103" s="7" t="str">
        <x:v>UX-102</x:v>
      </x:c>
      <x:c r="B103" s="7" t="str">
        <x:v>Administrator</x:v>
      </x:c>
      <x:c r="C103" s="7" t="str">
        <x:v>Accounts</x:v>
      </x:c>
      <x:c r="D103" s="7" t="str">
        <x:v>Create Account</x:v>
      </x:c>
      <x:c r="E103" s="7" t="str">
        <x:v>Create Customer/Web Designer/CS/Admin account safely</x:v>
      </x:c>
      <x:c r="F103" s="7" t="str">
        <x:v>Role choice, password policy, verification/activation state and duplicate errors should be explicit.</x:v>
      </x:c>
      <x:c r="G103" s="7" t="str">
        <x:v>Error prevention; security UX</x:v>
      </x:c>
      <x:c r="H103" s="7" t="str">
        <x:v>Account creation modal supports role, username, email, password.</x:v>
      </x:c>
      <x:c r="I103" s="7" t="str">
        <x:v>Partial</x:v>
      </x:c>
      <x:c r="J103" s="7" t="str">
        <x:v>Remove default password value, show password requirements, clarify whether admin-created Customer bypasses email verification.</x:v>
      </x:c>
      <x:c r="K103" s="7" t="str">
        <x:v>Task-based usability</x:v>
      </x:c>
      <x:c r="L103" s="7" t="str">
        <x:v>P0</x:v>
      </x:c>
      <x:c r="M103" s="7" t="str">
        <x:v>Complete without facilitator; SEQ ≥5/7</x:v>
      </x:c>
      <x:c r="N103" s="7" t="str">
        <x:f>'Administrator'!K13</x:f>
        <x:v>Not Tested</x:v>
      </x:c>
      <x:c r="O103" s="7" t="n">
        <x:f>'Administrator'!L13</x:f>
        <x:v>0</x:v>
      </x:c>
      <x:c r="P103" s="7" t="n">
        <x:f>'Administrator'!M13</x:f>
        <x:v>0</x:v>
      </x:c>
      <x:c r="Q103" s="7" t="n">
        <x:f>'Administrator'!N13</x:f>
        <x:v>0</x:v>
      </x:c>
      <x:c r="R103" s="7" t="n">
        <x:f>'Administrator'!O13</x:f>
        <x:v>0</x:v>
      </x:c>
      <x:c r="S103" s="7" t="n">
        <x:f>'Administrator'!P13</x:f>
        <x:v>0</x:v>
      </x:c>
      <x:c r="T103" s="7" t="n">
        <x:f>'Administrator'!Q13</x:f>
        <x:v>0</x:v>
      </x:c>
      <x:c r="U103" s="7" t="n">
        <x:f>'Administrator'!R13</x:f>
        <x:v>0</x:v>
      </x:c>
      <x:c r="V103" s="7" t="str">
        <x:f>'Administrator'!S13</x:f>
      </x:c>
      <x:c r="W103" s="7" t="str">
        <x:v>R01,R03</x:v>
      </x:c>
      <x:c r="X103" s="7" t="n">
        <x:f>'Administrator'!$B$5</x:f>
        <x:v>0</x:v>
      </x:c>
      <x:c r="Y103" s="48" t="n">
        <x:f>'Administrator'!V13</x:f>
        <x:v>0</x:v>
      </x:c>
      <x:c r="Z103" s="7" t="n">
        <x:f>'Administrator'!U13</x:f>
        <x:v>0</x:v>
      </x:c>
    </x:row>
    <x:row r="104">
      <x:c r="A104" s="7" t="str">
        <x:v>UX-103</x:v>
      </x:c>
      <x:c r="B104" s="7" t="str">
        <x:v>Administrator</x:v>
      </x:c>
      <x:c r="C104" s="7" t="str">
        <x:v>Accounts</x:v>
      </x:c>
      <x:c r="D104" s="7" t="str">
        <x:v>Search</x:v>
      </x:c>
      <x:c r="E104" s="7" t="str">
        <x:v>Find account by name/email/username</x:v>
      </x:c>
      <x:c r="F104" s="7" t="str">
        <x:v>Directory search should be immediate and preserve context.</x:v>
      </x:c>
      <x:c r="G104" s="7" t="str">
        <x:v>Efficiency</x:v>
      </x:c>
      <x:c r="H104" s="7" t="str">
        <x:v>Account directory search is implemented.</x:v>
      </x:c>
      <x:c r="I104" s="7" t="str">
        <x:v>Meets</x:v>
      </x:c>
      <x:c r="J104" s="7" t="str">
        <x:v>Add role/status filters at larger scale.</x:v>
      </x:c>
      <x:c r="K104" s="7" t="str">
        <x:v>Task-based usability</x:v>
      </x:c>
      <x:c r="L104" s="7" t="str">
        <x:v>P1</x:v>
      </x:c>
      <x:c r="M104" s="7" t="str">
        <x:v>Complete without facilitator; SEQ ≥5/7</x:v>
      </x:c>
      <x:c r="N104" s="7" t="str">
        <x:f>'Administrator'!K14</x:f>
        <x:v>Not Tested</x:v>
      </x:c>
      <x:c r="O104" s="7" t="n">
        <x:f>'Administrator'!L14</x:f>
        <x:v>0</x:v>
      </x:c>
      <x:c r="P104" s="7" t="n">
        <x:f>'Administrator'!M14</x:f>
        <x:v>0</x:v>
      </x:c>
      <x:c r="Q104" s="7" t="n">
        <x:f>'Administrator'!N14</x:f>
        <x:v>0</x:v>
      </x:c>
      <x:c r="R104" s="7" t="n">
        <x:f>'Administrator'!O14</x:f>
        <x:v>0</x:v>
      </x:c>
      <x:c r="S104" s="7" t="n">
        <x:f>'Administrator'!P14</x:f>
        <x:v>0</x:v>
      </x:c>
      <x:c r="T104" s="7" t="n">
        <x:f>'Administrator'!Q14</x:f>
        <x:v>0</x:v>
      </x:c>
      <x:c r="U104" s="7" t="n">
        <x:f>'Administrator'!R14</x:f>
        <x:v>0</x:v>
      </x:c>
      <x:c r="V104" s="7" t="str">
        <x:f>'Administrator'!S14</x:f>
      </x:c>
      <x:c r="W104" s="7" t="str">
        <x:v>R01</x:v>
      </x:c>
      <x:c r="X104" s="7" t="n">
        <x:f>'Administrator'!$B$5</x:f>
        <x:v>0</x:v>
      </x:c>
      <x:c r="Y104" s="48" t="n">
        <x:f>'Administrator'!V14</x:f>
        <x:v>0</x:v>
      </x:c>
      <x:c r="Z104" s="7" t="n">
        <x:f>'Administrator'!U14</x:f>
        <x:v>0</x:v>
      </x:c>
    </x:row>
    <x:row r="105">
      <x:c r="A105" s="7" t="str">
        <x:v>UX-104</x:v>
      </x:c>
      <x:c r="B105" s="7" t="str">
        <x:v>Administrator</x:v>
      </x:c>
      <x:c r="C105" s="7" t="str">
        <x:v>Roles</x:v>
      </x:c>
      <x:c r="D105" s="7" t="str">
        <x:v>Role Creation</x:v>
      </x:c>
      <x:c r="E105" s="7" t="str">
        <x:v>Create custom role with only required permissions</x:v>
      </x:c>
      <x:c r="F105" s="7" t="str">
        <x:v>Permissions should follow least privilege and be understandable as business capabilities.</x:v>
      </x:c>
      <x:c r="G105" s="7" t="str">
        <x:v>Least privilege; recognition</x:v>
      </x:c>
      <x:c r="H105" s="7" t="str">
        <x:v>Custom role creation and permission checklist exist.</x:v>
      </x:c>
      <x:c r="I105" s="7" t="str">
        <x:v>Partial</x:v>
      </x:c>
      <x:c r="J105" s="7" t="str">
        <x:v>Group permissions by module, add descriptions/risk level and copy-from-role capability.</x:v>
      </x:c>
      <x:c r="K105" s="7" t="str">
        <x:v>Task-based usability</x:v>
      </x:c>
      <x:c r="L105" s="7" t="str">
        <x:v>P0</x:v>
      </x:c>
      <x:c r="M105" s="7" t="str">
        <x:v>Complete without facilitator; SEQ ≥5/7</x:v>
      </x:c>
      <x:c r="N105" s="7" t="str">
        <x:f>'Administrator'!K15</x:f>
        <x:v>Not Tested</x:v>
      </x:c>
      <x:c r="O105" s="7" t="n">
        <x:f>'Administrator'!L15</x:f>
        <x:v>0</x:v>
      </x:c>
      <x:c r="P105" s="7" t="n">
        <x:f>'Administrator'!M15</x:f>
        <x:v>0</x:v>
      </x:c>
      <x:c r="Q105" s="7" t="n">
        <x:f>'Administrator'!N15</x:f>
        <x:v>0</x:v>
      </x:c>
      <x:c r="R105" s="7" t="n">
        <x:f>'Administrator'!O15</x:f>
        <x:v>0</x:v>
      </x:c>
      <x:c r="S105" s="7" t="n">
        <x:f>'Administrator'!P15</x:f>
        <x:v>0</x:v>
      </x:c>
      <x:c r="T105" s="7" t="n">
        <x:f>'Administrator'!Q15</x:f>
        <x:v>0</x:v>
      </x:c>
      <x:c r="U105" s="7" t="n">
        <x:f>'Administrator'!R15</x:f>
        <x:v>0</x:v>
      </x:c>
      <x:c r="V105" s="7" t="str">
        <x:f>'Administrator'!S15</x:f>
      </x:c>
      <x:c r="W105" s="7" t="str">
        <x:v>R15,R16</x:v>
      </x:c>
      <x:c r="X105" s="7" t="n">
        <x:f>'Administrator'!$B$5</x:f>
        <x:v>0</x:v>
      </x:c>
      <x:c r="Y105" s="48" t="n">
        <x:f>'Administrator'!V15</x:f>
        <x:v>0</x:v>
      </x:c>
      <x:c r="Z105" s="7" t="n">
        <x:f>'Administrator'!U15</x:f>
        <x:v>0</x:v>
      </x:c>
    </x:row>
    <x:row r="106">
      <x:c r="A106" s="7" t="str">
        <x:v>UX-105</x:v>
      </x:c>
      <x:c r="B106" s="7" t="str">
        <x:v>Administrator</x:v>
      </x:c>
      <x:c r="C106" s="7" t="str">
        <x:v>Roles</x:v>
      </x:c>
      <x:c r="D106" s="7" t="str">
        <x:v>System Role Protection</x:v>
      </x:c>
      <x:c r="E106" s="7" t="str">
        <x:v>Avoid deleting protected system roles</x:v>
      </x:c>
      <x:c r="F106" s="7" t="str">
        <x:v>System roles should be clearly marked and non-deletable.</x:v>
      </x:c>
      <x:c r="G106" s="7" t="str">
        <x:v>Error prevention</x:v>
      </x:c>
      <x:c r="H106" s="7" t="str">
        <x:v>System roles display shield and cannot be deleted.</x:v>
      </x:c>
      <x:c r="I106" s="7" t="str">
        <x:v>Meets</x:v>
      </x:c>
      <x:c r="J106" s="7" t="str">
        <x:v>Add tooltip explaining why.</x:v>
      </x:c>
      <x:c r="K106" s="7" t="str">
        <x:v>Task-based usability</x:v>
      </x:c>
      <x:c r="L106" s="7" t="str">
        <x:v>P1</x:v>
      </x:c>
      <x:c r="M106" s="7" t="str">
        <x:v>Complete without facilitator; SEQ ≥5/7</x:v>
      </x:c>
      <x:c r="N106" s="7" t="str">
        <x:f>'Administrator'!K16</x:f>
        <x:v>Not Tested</x:v>
      </x:c>
      <x:c r="O106" s="7" t="n">
        <x:f>'Administrator'!L16</x:f>
        <x:v>0</x:v>
      </x:c>
      <x:c r="P106" s="7" t="n">
        <x:f>'Administrator'!M16</x:f>
        <x:v>0</x:v>
      </x:c>
      <x:c r="Q106" s="7" t="n">
        <x:f>'Administrator'!N16</x:f>
        <x:v>0</x:v>
      </x:c>
      <x:c r="R106" s="7" t="n">
        <x:f>'Administrator'!O16</x:f>
        <x:v>0</x:v>
      </x:c>
      <x:c r="S106" s="7" t="n">
        <x:f>'Administrator'!P16</x:f>
        <x:v>0</x:v>
      </x:c>
      <x:c r="T106" s="7" t="n">
        <x:f>'Administrator'!Q16</x:f>
        <x:v>0</x:v>
      </x:c>
      <x:c r="U106" s="7" t="n">
        <x:f>'Administrator'!R16</x:f>
        <x:v>0</x:v>
      </x:c>
      <x:c r="V106" s="7" t="str">
        <x:f>'Administrator'!S16</x:f>
      </x:c>
      <x:c r="W106" s="7" t="str">
        <x:v>R01,R16</x:v>
      </x:c>
      <x:c r="X106" s="7" t="n">
        <x:f>'Administrator'!$B$5</x:f>
        <x:v>0</x:v>
      </x:c>
      <x:c r="Y106" s="48" t="n">
        <x:f>'Administrator'!V16</x:f>
        <x:v>0</x:v>
      </x:c>
      <x:c r="Z106" s="7" t="n">
        <x:f>'Administrator'!U16</x:f>
        <x:v>0</x:v>
      </x:c>
    </x:row>
    <x:row r="107">
      <x:c r="A107" s="7" t="str">
        <x:v>UX-106</x:v>
      </x:c>
      <x:c r="B107" s="7" t="str">
        <x:v>Administrator</x:v>
      </x:c>
      <x:c r="C107" s="7" t="str">
        <x:v>Roles</x:v>
      </x:c>
      <x:c r="D107" s="7" t="str">
        <x:v>Delete Role</x:v>
      </x:c>
      <x:c r="E107" s="7" t="str">
        <x:v>Delete custom role safely</x:v>
      </x:c>
      <x:c r="F107" s="7" t="str">
        <x:v>Destructive role change should warn about affected users and require confirmation/reassignment.</x:v>
      </x:c>
      <x:c r="G107" s="7" t="str">
        <x:v>Error prevention; user control</x:v>
      </x:c>
      <x:c r="H107" s="7" t="str">
        <x:v>Backend prevents deletion when used, but UI delete action appears direct.</x:v>
      </x:c>
      <x:c r="I107" s="7" t="str">
        <x:v>Gap</x:v>
      </x:c>
      <x:c r="J107" s="7" t="str">
        <x:v>Add confirmation dialog showing affected user count and recommended reassignment.</x:v>
      </x:c>
      <x:c r="K107" s="7" t="str">
        <x:v>Task-based usability</x:v>
      </x:c>
      <x:c r="L107" s="7" t="str">
        <x:v>P0</x:v>
      </x:c>
      <x:c r="M107" s="7" t="str">
        <x:v>Complete without facilitator; SEQ ≥5/7</x:v>
      </x:c>
      <x:c r="N107" s="7" t="str">
        <x:f>'Administrator'!K17</x:f>
        <x:v>Not Tested</x:v>
      </x:c>
      <x:c r="O107" s="7" t="n">
        <x:f>'Administrator'!L17</x:f>
        <x:v>0</x:v>
      </x:c>
      <x:c r="P107" s="7" t="n">
        <x:f>'Administrator'!M17</x:f>
        <x:v>0</x:v>
      </x:c>
      <x:c r="Q107" s="7" t="n">
        <x:f>'Administrator'!N17</x:f>
        <x:v>0</x:v>
      </x:c>
      <x:c r="R107" s="7" t="n">
        <x:f>'Administrator'!O17</x:f>
        <x:v>0</x:v>
      </x:c>
      <x:c r="S107" s="7" t="n">
        <x:f>'Administrator'!P17</x:f>
        <x:v>0</x:v>
      </x:c>
      <x:c r="T107" s="7" t="n">
        <x:f>'Administrator'!Q17</x:f>
        <x:v>0</x:v>
      </x:c>
      <x:c r="U107" s="7" t="n">
        <x:f>'Administrator'!R17</x:f>
        <x:v>0</x:v>
      </x:c>
      <x:c r="V107" s="7" t="str">
        <x:f>'Administrator'!S17</x:f>
      </x:c>
      <x:c r="W107" s="7" t="str">
        <x:v>R01</x:v>
      </x:c>
      <x:c r="X107" s="7" t="n">
        <x:f>'Administrator'!$B$5</x:f>
        <x:v>0</x:v>
      </x:c>
      <x:c r="Y107" s="48" t="n">
        <x:f>'Administrator'!V17</x:f>
        <x:v>0</x:v>
      </x:c>
      <x:c r="Z107" s="7" t="n">
        <x:f>'Administrator'!U17</x:f>
        <x:v>0</x:v>
      </x:c>
    </x:row>
    <x:row r="108">
      <x:c r="A108" s="7" t="str">
        <x:v>UX-107</x:v>
      </x:c>
      <x:c r="B108" s="7" t="str">
        <x:v>Administrator</x:v>
      </x:c>
      <x:c r="C108" s="7" t="str">
        <x:v>Roles</x:v>
      </x:c>
      <x:c r="D108" s="7" t="str">
        <x:v>Audit Trail</x:v>
      </x:c>
      <x:c r="E108" s="7" t="str">
        <x:v>Know who changed permissions and when</x:v>
      </x:c>
      <x:c r="F108" s="7" t="str">
        <x:v>High-impact access changes should be traceable.</x:v>
      </x:c>
      <x:c r="G108" s="7" t="str">
        <x:v>Accountability; error recovery</x:v>
      </x:c>
      <x:c r="H108" s="7" t="str">
        <x:v>No role/user admin audit-log UI is evident.</x:v>
      </x:c>
      <x:c r="I108" s="7" t="str">
        <x:v>Gap</x:v>
      </x:c>
      <x:c r="J108" s="7" t="str">
        <x:v>Add immutable audit events for account/role/permission/payment/template approval actions.</x:v>
      </x:c>
      <x:c r="K108" s="7" t="str">
        <x:v>Task-based usability</x:v>
      </x:c>
      <x:c r="L108" s="7" t="str">
        <x:v>P0</x:v>
      </x:c>
      <x:c r="M108" s="7" t="str">
        <x:v>Complete without facilitator; SEQ ≥5/7</x:v>
      </x:c>
      <x:c r="N108" s="7" t="str">
        <x:f>'Administrator'!K18</x:f>
        <x:v>Not Tested</x:v>
      </x:c>
      <x:c r="O108" s="7" t="n">
        <x:f>'Administrator'!L18</x:f>
        <x:v>0</x:v>
      </x:c>
      <x:c r="P108" s="7" t="n">
        <x:f>'Administrator'!M18</x:f>
        <x:v>0</x:v>
      </x:c>
      <x:c r="Q108" s="7" t="n">
        <x:f>'Administrator'!N18</x:f>
        <x:v>0</x:v>
      </x:c>
      <x:c r="R108" s="7" t="n">
        <x:f>'Administrator'!O18</x:f>
        <x:v>0</x:v>
      </x:c>
      <x:c r="S108" s="7" t="n">
        <x:f>'Administrator'!P18</x:f>
        <x:v>0</x:v>
      </x:c>
      <x:c r="T108" s="7" t="n">
        <x:f>'Administrator'!Q18</x:f>
        <x:v>0</x:v>
      </x:c>
      <x:c r="U108" s="7" t="n">
        <x:f>'Administrator'!R18</x:f>
        <x:v>0</x:v>
      </x:c>
      <x:c r="V108" s="7" t="str">
        <x:f>'Administrator'!S18</x:f>
      </x:c>
      <x:c r="W108" s="7" t="str">
        <x:v>R15,R16</x:v>
      </x:c>
      <x:c r="X108" s="7" t="n">
        <x:f>'Administrator'!$B$5</x:f>
        <x:v>0</x:v>
      </x:c>
      <x:c r="Y108" s="48" t="n">
        <x:f>'Administrator'!V18</x:f>
        <x:v>0</x:v>
      </x:c>
      <x:c r="Z108" s="7" t="n">
        <x:f>'Administrator'!U18</x:f>
        <x:v>0</x:v>
      </x:c>
    </x:row>
    <x:row r="109">
      <x:c r="A109" s="7" t="str">
        <x:v>UX-108</x:v>
      </x:c>
      <x:c r="B109" s="7" t="str">
        <x:v>Administrator</x:v>
      </x:c>
      <x:c r="C109" s="7" t="str">
        <x:v>Approvals</x:v>
      </x:c>
      <x:c r="D109" s="7" t="str">
        <x:v>Queue</x:v>
      </x:c>
      <x:c r="E109" s="7" t="str">
        <x:v>See pending template approvals in one place</x:v>
      </x:c>
      <x:c r="F109" s="7" t="str">
        <x:v>Approval queue should show requestor, template, price, submitted time, status and preview.</x:v>
      </x:c>
      <x:c r="G109" s="7" t="str">
        <x:v>Visibility; efficiency</x:v>
      </x:c>
      <x:c r="H109" s="7" t="str">
        <x:v>Tasks page has dedicated Template Approval section with requestor/price context through template data.</x:v>
      </x:c>
      <x:c r="I109" s="7" t="str">
        <x:v>Partial</x:v>
      </x:c>
      <x:c r="J109" s="7" t="str">
        <x:v>Add actual template preview and sort by submission age.</x:v>
      </x:c>
      <x:c r="K109" s="7" t="str">
        <x:v>Task-based usability</x:v>
      </x:c>
      <x:c r="L109" s="7" t="str">
        <x:v>P1</x:v>
      </x:c>
      <x:c r="M109" s="7" t="str">
        <x:v>Complete without facilitator; SEQ ≥5/7</x:v>
      </x:c>
      <x:c r="N109" s="7" t="str">
        <x:f>'Administrator'!K19</x:f>
        <x:v>Not Tested</x:v>
      </x:c>
      <x:c r="O109" s="7" t="n">
        <x:f>'Administrator'!L19</x:f>
        <x:v>0</x:v>
      </x:c>
      <x:c r="P109" s="7" t="n">
        <x:f>'Administrator'!M19</x:f>
        <x:v>0</x:v>
      </x:c>
      <x:c r="Q109" s="7" t="n">
        <x:f>'Administrator'!N19</x:f>
        <x:v>0</x:v>
      </x:c>
      <x:c r="R109" s="7" t="n">
        <x:f>'Administrator'!O19</x:f>
        <x:v>0</x:v>
      </x:c>
      <x:c r="S109" s="7" t="n">
        <x:f>'Administrator'!P19</x:f>
        <x:v>0</x:v>
      </x:c>
      <x:c r="T109" s="7" t="n">
        <x:f>'Administrator'!Q19</x:f>
        <x:v>0</x:v>
      </x:c>
      <x:c r="U109" s="7" t="n">
        <x:f>'Administrator'!R19</x:f>
        <x:v>0</x:v>
      </x:c>
      <x:c r="V109" s="7" t="str">
        <x:f>'Administrator'!S19</x:f>
      </x:c>
      <x:c r="W109" s="7" t="str">
        <x:v>R01</x:v>
      </x:c>
      <x:c r="X109" s="7" t="n">
        <x:f>'Administrator'!$B$5</x:f>
        <x:v>0</x:v>
      </x:c>
      <x:c r="Y109" s="48" t="n">
        <x:f>'Administrator'!V19</x:f>
        <x:v>0</x:v>
      </x:c>
      <x:c r="Z109" s="7" t="n">
        <x:f>'Administrator'!U19</x:f>
        <x:v>0</x:v>
      </x:c>
    </x:row>
    <x:row r="110">
      <x:c r="A110" s="7" t="str">
        <x:v>UX-109</x:v>
      </x:c>
      <x:c r="B110" s="7" t="str">
        <x:v>Administrator</x:v>
      </x:c>
      <x:c r="C110" s="7" t="str">
        <x:v>Approvals</x:v>
      </x:c>
      <x:c r="D110" s="7" t="str">
        <x:v>Approve</x:v>
      </x:c>
      <x:c r="E110" s="7" t="str">
        <x:v>Approve &amp; publish intentionally</x:v>
      </x:c>
      <x:c r="F110" s="7" t="str">
        <x:v>High-impact action should show what will become public and provide confirmation where needed.</x:v>
      </x:c>
      <x:c r="G110" s="7" t="str">
        <x:v>Error prevention</x:v>
      </x:c>
      <x:c r="H110" s="7" t="str">
        <x:v>Approved &amp; Publish action is available.</x:v>
      </x:c>
      <x:c r="I110" s="7" t="str">
        <x:v>Partial</x:v>
      </x:c>
      <x:c r="J110" s="7" t="str">
        <x:v>Show final preview + price/metadata summary before publish.</x:v>
      </x:c>
      <x:c r="K110" s="7" t="str">
        <x:v>Task-based usability</x:v>
      </x:c>
      <x:c r="L110" s="7" t="str">
        <x:v>P0</x:v>
      </x:c>
      <x:c r="M110" s="7" t="str">
        <x:v>Complete without facilitator; SEQ ≥5/7</x:v>
      </x:c>
      <x:c r="N110" s="7" t="str">
        <x:f>'Administrator'!K20</x:f>
        <x:v>Not Tested</x:v>
      </x:c>
      <x:c r="O110" s="7" t="n">
        <x:f>'Administrator'!L20</x:f>
        <x:v>0</x:v>
      </x:c>
      <x:c r="P110" s="7" t="n">
        <x:f>'Administrator'!M20</x:f>
        <x:v>0</x:v>
      </x:c>
      <x:c r="Q110" s="7" t="n">
        <x:f>'Administrator'!N20</x:f>
        <x:v>0</x:v>
      </x:c>
      <x:c r="R110" s="7" t="n">
        <x:f>'Administrator'!O20</x:f>
        <x:v>0</x:v>
      </x:c>
      <x:c r="S110" s="7" t="n">
        <x:f>'Administrator'!P20</x:f>
        <x:v>0</x:v>
      </x:c>
      <x:c r="T110" s="7" t="n">
        <x:f>'Administrator'!Q20</x:f>
        <x:v>0</x:v>
      </x:c>
      <x:c r="U110" s="7" t="n">
        <x:f>'Administrator'!R20</x:f>
        <x:v>0</x:v>
      </x:c>
      <x:c r="V110" s="7" t="str">
        <x:f>'Administrator'!S20</x:f>
      </x:c>
      <x:c r="W110" s="7" t="str">
        <x:v>R01</x:v>
      </x:c>
      <x:c r="X110" s="7" t="n">
        <x:f>'Administrator'!$B$5</x:f>
        <x:v>0</x:v>
      </x:c>
      <x:c r="Y110" s="48" t="n">
        <x:f>'Administrator'!V20</x:f>
        <x:v>0</x:v>
      </x:c>
      <x:c r="Z110" s="7" t="n">
        <x:f>'Administrator'!U20</x:f>
        <x:v>0</x:v>
      </x:c>
    </x:row>
    <x:row r="111">
      <x:c r="A111" s="7" t="str">
        <x:v>UX-110</x:v>
      </x:c>
      <x:c r="B111" s="7" t="str">
        <x:v>Administrator</x:v>
      </x:c>
      <x:c r="C111" s="7" t="str">
        <x:v>Approvals</x:v>
      </x:c>
      <x:c r="D111" s="7" t="str">
        <x:v>Reject</x:v>
      </x:c>
      <x:c r="E111" s="7" t="str">
        <x:v>Reject with actionable feedback</x:v>
      </x:c>
      <x:c r="F111" s="7" t="str">
        <x:v>Reject should require/encourage feedback and update requestor status.</x:v>
      </x:c>
      <x:c r="G111" s="7" t="str">
        <x:v>Error recovery</x:v>
      </x:c>
      <x:c r="H111" s="7" t="str">
        <x:v>Feedback textarea and Reject action exist; requestor email is queued.</x:v>
      </x:c>
      <x:c r="I111" s="7" t="str">
        <x:v>Meets</x:v>
      </x:c>
      <x:c r="J111" s="7" t="str">
        <x:v>Require feedback for rejection if product policy expects actionable review.</x:v>
      </x:c>
      <x:c r="K111" s="7" t="str">
        <x:v>Task-based usability</x:v>
      </x:c>
      <x:c r="L111" s="7" t="str">
        <x:v>P1</x:v>
      </x:c>
      <x:c r="M111" s="7" t="str">
        <x:v>Complete without facilitator; SEQ ≥5/7</x:v>
      </x:c>
      <x:c r="N111" s="7" t="str">
        <x:f>'Administrator'!K21</x:f>
        <x:v>Not Tested</x:v>
      </x:c>
      <x:c r="O111" s="7" t="n">
        <x:f>'Administrator'!L21</x:f>
        <x:v>0</x:v>
      </x:c>
      <x:c r="P111" s="7" t="n">
        <x:f>'Administrator'!M21</x:f>
        <x:v>0</x:v>
      </x:c>
      <x:c r="Q111" s="7" t="n">
        <x:f>'Administrator'!N21</x:f>
        <x:v>0</x:v>
      </x:c>
      <x:c r="R111" s="7" t="n">
        <x:f>'Administrator'!O21</x:f>
        <x:v>0</x:v>
      </x:c>
      <x:c r="S111" s="7" t="n">
        <x:f>'Administrator'!P21</x:f>
        <x:v>0</x:v>
      </x:c>
      <x:c r="T111" s="7" t="n">
        <x:f>'Administrator'!Q21</x:f>
        <x:v>0</x:v>
      </x:c>
      <x:c r="U111" s="7" t="n">
        <x:f>'Administrator'!R21</x:f>
        <x:v>0</x:v>
      </x:c>
      <x:c r="V111" s="7" t="str">
        <x:f>'Administrator'!S21</x:f>
      </x:c>
      <x:c r="W111" s="7" t="str">
        <x:v>R01</x:v>
      </x:c>
      <x:c r="X111" s="7" t="n">
        <x:f>'Administrator'!$B$5</x:f>
        <x:v>0</x:v>
      </x:c>
      <x:c r="Y111" s="48" t="n">
        <x:f>'Administrator'!V21</x:f>
        <x:v>0</x:v>
      </x:c>
      <x:c r="Z111" s="7" t="n">
        <x:f>'Administrator'!U21</x:f>
        <x:v>0</x:v>
      </x:c>
    </x:row>
    <x:row r="112">
      <x:c r="A112" s="7" t="str">
        <x:v>UX-111</x:v>
      </x:c>
      <x:c r="B112" s="7" t="str">
        <x:v>Administrator</x:v>
      </x:c>
      <x:c r="C112" s="7" t="str">
        <x:v>Orders</x:v>
      </x:c>
      <x:c r="D112" s="7" t="str">
        <x:v>Analytics</x:v>
      </x:c>
      <x:c r="E112" s="7" t="str">
        <x:v>Monitor checkout qty and paid nominal</x:v>
      </x:c>
      <x:c r="F112" s="7" t="str">
        <x:v>Metrics must be database-backed and show clear time scope.</x:v>
      </x:c>
      <x:c r="G112" s="7" t="str">
        <x:v>Visibility; data usability</x:v>
      </x:c>
      <x:c r="H112" s="7" t="str">
        <x:v>Orders &amp; Revenue displays checkout qty, paid nominal, unique customers and paid orders.</x:v>
      </x:c>
      <x:c r="I112" s="7" t="str">
        <x:v>Partial</x:v>
      </x:c>
      <x:c r="J112" s="7" t="str">
        <x:v>Add date range, payment method, template and assignment filters.</x:v>
      </x:c>
      <x:c r="K112" s="7" t="str">
        <x:v>Task-based usability</x:v>
      </x:c>
      <x:c r="L112" s="7" t="str">
        <x:v>P1</x:v>
      </x:c>
      <x:c r="M112" s="7" t="str">
        <x:v>Complete without facilitator; SEQ ≥5/7</x:v>
      </x:c>
      <x:c r="N112" s="7" t="str">
        <x:f>'Administrator'!K22</x:f>
        <x:v>Not Tested</x:v>
      </x:c>
      <x:c r="O112" s="7" t="n">
        <x:f>'Administrator'!L22</x:f>
        <x:v>0</x:v>
      </x:c>
      <x:c r="P112" s="7" t="n">
        <x:f>'Administrator'!M22</x:f>
        <x:v>0</x:v>
      </x:c>
      <x:c r="Q112" s="7" t="n">
        <x:f>'Administrator'!N22</x:f>
        <x:v>0</x:v>
      </x:c>
      <x:c r="R112" s="7" t="n">
        <x:f>'Administrator'!O22</x:f>
        <x:v>0</x:v>
      </x:c>
      <x:c r="S112" s="7" t="n">
        <x:f>'Administrator'!P22</x:f>
        <x:v>0</x:v>
      </x:c>
      <x:c r="T112" s="7" t="n">
        <x:f>'Administrator'!Q22</x:f>
        <x:v>0</x:v>
      </x:c>
      <x:c r="U112" s="7" t="n">
        <x:f>'Administrator'!R22</x:f>
        <x:v>0</x:v>
      </x:c>
      <x:c r="V112" s="7" t="str">
        <x:f>'Administrator'!S22</x:f>
      </x:c>
      <x:c r="W112" s="7" t="str">
        <x:v>R01</x:v>
      </x:c>
      <x:c r="X112" s="7" t="n">
        <x:f>'Administrator'!$B$5</x:f>
        <x:v>0</x:v>
      </x:c>
      <x:c r="Y112" s="48" t="n">
        <x:f>'Administrator'!V22</x:f>
        <x:v>0</x:v>
      </x:c>
      <x:c r="Z112" s="7" t="n">
        <x:f>'Administrator'!U22</x:f>
        <x:v>0</x:v>
      </x:c>
    </x:row>
    <x:row r="113">
      <x:c r="A113" s="7" t="str">
        <x:v>UX-112</x:v>
      </x:c>
      <x:c r="B113" s="7" t="str">
        <x:v>Administrator</x:v>
      </x:c>
      <x:c r="C113" s="7" t="str">
        <x:v>Orders</x:v>
      </x:c>
      <x:c r="D113" s="7" t="str">
        <x:v>Export</x:v>
      </x:c>
      <x:c r="E113" s="7" t="str">
        <x:v>Export operational data</x:v>
      </x:c>
      <x:c r="F113" s="7" t="str">
        <x:v>CSV/Excel export should match filters and clearly state timestamp/columns.</x:v>
      </x:c>
      <x:c r="G113" s="7" t="str">
        <x:v>Efficiency</x:v>
      </x:c>
      <x:c r="H113" s="7" t="str">
        <x:v>CSV and Excel-compatible export actions exist.</x:v>
      </x:c>
      <x:c r="I113" s="7" t="str">
        <x:v>Partial</x:v>
      </x:c>
      <x:c r="J113" s="7" t="str">
        <x:v>Make export honor current filters and use true XLSX for production analytics.</x:v>
      </x:c>
      <x:c r="K113" s="7" t="str">
        <x:v>Task-based usability</x:v>
      </x:c>
      <x:c r="L113" s="7" t="str">
        <x:v>P1</x:v>
      </x:c>
      <x:c r="M113" s="7" t="str">
        <x:v>Complete without facilitator; SEQ ≥5/7</x:v>
      </x:c>
      <x:c r="N113" s="7" t="str">
        <x:f>'Administrator'!K23</x:f>
        <x:v>Not Tested</x:v>
      </x:c>
      <x:c r="O113" s="7" t="n">
        <x:f>'Administrator'!L23</x:f>
        <x:v>0</x:v>
      </x:c>
      <x:c r="P113" s="7" t="n">
        <x:f>'Administrator'!M23</x:f>
        <x:v>0</x:v>
      </x:c>
      <x:c r="Q113" s="7" t="n">
        <x:f>'Administrator'!N23</x:f>
        <x:v>0</x:v>
      </x:c>
      <x:c r="R113" s="7" t="n">
        <x:f>'Administrator'!O23</x:f>
        <x:v>0</x:v>
      </x:c>
      <x:c r="S113" s="7" t="n">
        <x:f>'Administrator'!P23</x:f>
        <x:v>0</x:v>
      </x:c>
      <x:c r="T113" s="7" t="n">
        <x:f>'Administrator'!Q23</x:f>
        <x:v>0</x:v>
      </x:c>
      <x:c r="U113" s="7" t="n">
        <x:f>'Administrator'!R23</x:f>
        <x:v>0</x:v>
      </x:c>
      <x:c r="V113" s="7" t="str">
        <x:f>'Administrator'!S23</x:f>
      </x:c>
      <x:c r="W113" s="7" t="str">
        <x:v>R01</x:v>
      </x:c>
      <x:c r="X113" s="7" t="n">
        <x:f>'Administrator'!$B$5</x:f>
        <x:v>0</x:v>
      </x:c>
      <x:c r="Y113" s="48" t="n">
        <x:f>'Administrator'!V23</x:f>
        <x:v>0</x:v>
      </x:c>
      <x:c r="Z113" s="7" t="n">
        <x:f>'Administrator'!U23</x:f>
        <x:v>0</x:v>
      </x:c>
    </x:row>
    <x:row r="114">
      <x:c r="A114" s="7" t="str">
        <x:v>UX-113</x:v>
      </x:c>
      <x:c r="B114" s="7" t="str">
        <x:v>Administrator</x:v>
      </x:c>
      <x:c r="C114" s="7" t="str">
        <x:v>Orders</x:v>
      </x:c>
      <x:c r="D114" s="7" t="str">
        <x:v>Order Detail</x:v>
      </x:c>
      <x:c r="E114" s="7" t="str">
        <x:v>Investigate a specific order</x:v>
      </x:c>
      <x:c r="F114" s="7" t="str">
        <x:v>Admin should have a dedicated detail/timeline with payment, receipt, tasks, conversation and assignment.</x:v>
      </x:c>
      <x:c r="G114" s="7" t="str">
        <x:v>Recognition; investigation efficiency</x:v>
      </x:c>
      <x:c r="H114" s="7" t="str">
        <x:v>Analytics is table-oriented; no rich order detail page is evident.</x:v>
      </x:c>
      <x:c r="I114" s="7" t="str">
        <x:v>Gap</x:v>
      </x:c>
      <x:c r="J114" s="7" t="str">
        <x:v>Add Order Detail timeline linking receipt, CS conversation, CS task and Designer task.</x:v>
      </x:c>
      <x:c r="K114" s="7" t="str">
        <x:v>Task-based usability</x:v>
      </x:c>
      <x:c r="L114" s="7" t="str">
        <x:v>P1</x:v>
      </x:c>
      <x:c r="M114" s="7" t="str">
        <x:v>Complete without facilitator; SEQ ≥5/7</x:v>
      </x:c>
      <x:c r="N114" s="7" t="str">
        <x:f>'Administrator'!K24</x:f>
        <x:v>Not Tested</x:v>
      </x:c>
      <x:c r="O114" s="7" t="n">
        <x:f>'Administrator'!L24</x:f>
        <x:v>0</x:v>
      </x:c>
      <x:c r="P114" s="7" t="n">
        <x:f>'Administrator'!M24</x:f>
        <x:v>0</x:v>
      </x:c>
      <x:c r="Q114" s="7" t="n">
        <x:f>'Administrator'!N24</x:f>
        <x:v>0</x:v>
      </x:c>
      <x:c r="R114" s="7" t="n">
        <x:f>'Administrator'!O24</x:f>
        <x:v>0</x:v>
      </x:c>
      <x:c r="S114" s="7" t="n">
        <x:f>'Administrator'!P24</x:f>
        <x:v>0</x:v>
      </x:c>
      <x:c r="T114" s="7" t="n">
        <x:f>'Administrator'!Q24</x:f>
        <x:v>0</x:v>
      </x:c>
      <x:c r="U114" s="7" t="n">
        <x:f>'Administrator'!R24</x:f>
        <x:v>0</x:v>
      </x:c>
      <x:c r="V114" s="7" t="str">
        <x:f>'Administrator'!S24</x:f>
      </x:c>
      <x:c r="W114" s="7" t="str">
        <x:v>R01</x:v>
      </x:c>
      <x:c r="X114" s="7" t="n">
        <x:f>'Administrator'!$B$5</x:f>
        <x:v>0</x:v>
      </x:c>
      <x:c r="Y114" s="48" t="n">
        <x:f>'Administrator'!V24</x:f>
        <x:v>0</x:v>
      </x:c>
      <x:c r="Z114" s="7" t="n">
        <x:f>'Administrator'!U24</x:f>
        <x:v>0</x:v>
      </x:c>
    </x:row>
    <x:row r="115">
      <x:c r="A115" s="7" t="str">
        <x:v>UX-114</x:v>
      </x:c>
      <x:c r="B115" s="7" t="str">
        <x:v>Administrator</x:v>
      </x:c>
      <x:c r="C115" s="7" t="str">
        <x:v>Payments</x:v>
      </x:c>
      <x:c r="D115" s="7" t="str">
        <x:v>Payment Methods</x:v>
      </x:c>
      <x:c r="E115" s="7" t="str">
        <x:v>Enable/configure payment methods safely</x:v>
      </x:c>
      <x:c r="F115" s="7" t="str">
        <x:v>Admin should see environment, enabled state, merchant config and validation before saving.</x:v>
      </x:c>
      <x:c r="G115" s="7" t="str">
        <x:v>Error prevention</x:v>
      </x:c>
      <x:c r="H115" s="7" t="str">
        <x:v>Payment settings supports enabled toggle, merchant name and instructions.</x:v>
      </x:c>
      <x:c r="I115" s="7" t="str">
        <x:v>Partial</x:v>
      </x:c>
      <x:c r="J115" s="7" t="str">
        <x:v>Add test connection/validation, gateway credential status and separate staging/production configuration.</x:v>
      </x:c>
      <x:c r="K115" s="7" t="str">
        <x:v>Task-based usability</x:v>
      </x:c>
      <x:c r="L115" s="7" t="str">
        <x:v>P0</x:v>
      </x:c>
      <x:c r="M115" s="7" t="str">
        <x:v>Complete without facilitator; SEQ ≥5/7</x:v>
      </x:c>
      <x:c r="N115" s="7" t="str">
        <x:f>'Administrator'!K25</x:f>
        <x:v>Not Tested</x:v>
      </x:c>
      <x:c r="O115" s="7" t="n">
        <x:f>'Administrator'!L25</x:f>
        <x:v>0</x:v>
      </x:c>
      <x:c r="P115" s="7" t="n">
        <x:f>'Administrator'!M25</x:f>
        <x:v>0</x:v>
      </x:c>
      <x:c r="Q115" s="7" t="n">
        <x:f>'Administrator'!N25</x:f>
        <x:v>0</x:v>
      </x:c>
      <x:c r="R115" s="7" t="n">
        <x:f>'Administrator'!O25</x:f>
        <x:v>0</x:v>
      </x:c>
      <x:c r="S115" s="7" t="n">
        <x:f>'Administrator'!P25</x:f>
        <x:v>0</x:v>
      </x:c>
      <x:c r="T115" s="7" t="n">
        <x:f>'Administrator'!Q25</x:f>
        <x:v>0</x:v>
      </x:c>
      <x:c r="U115" s="7" t="n">
        <x:f>'Administrator'!R25</x:f>
        <x:v>0</x:v>
      </x:c>
      <x:c r="V115" s="7" t="str">
        <x:f>'Administrator'!S25</x:f>
      </x:c>
      <x:c r="W115" s="7" t="str">
        <x:v>R01</x:v>
      </x:c>
      <x:c r="X115" s="7" t="n">
        <x:f>'Administrator'!$B$5</x:f>
        <x:v>0</x:v>
      </x:c>
      <x:c r="Y115" s="48" t="n">
        <x:f>'Administrator'!V25</x:f>
        <x:v>0</x:v>
      </x:c>
      <x:c r="Z115" s="7" t="n">
        <x:f>'Administrator'!U25</x:f>
        <x:v>0</x:v>
      </x:c>
    </x:row>
    <x:row r="116">
      <x:c r="A116" s="7" t="str">
        <x:v>UX-115</x:v>
      </x:c>
      <x:c r="B116" s="7" t="str">
        <x:v>Administrator</x:v>
      </x:c>
      <x:c r="C116" s="7" t="str">
        <x:v>Payments</x:v>
      </x:c>
      <x:c r="D116" s="7" t="str">
        <x:v>Production Safety</x:v>
      </x:c>
      <x:c r="E116" s="7" t="str">
        <x:v>Prevent simulation from being mistaken for real payment</x:v>
      </x:c>
      <x:c r="F116" s="7" t="str">
        <x:v>Staging simulation must be visibly separated from production gateway behavior.</x:v>
      </x:c>
      <x:c r="G116" s="7" t="str">
        <x:v>Error prevention</x:v>
      </x:c>
      <x:c r="H116" s="7" t="str">
        <x:v>Backend has PAYMENT_MODE safety guard from v0.12.</x:v>
      </x:c>
      <x:c r="I116" s="7" t="str">
        <x:v>Meets</x:v>
      </x:c>
      <x:c r="J116" s="7" t="str">
        <x:v>Keep simulation controls inaccessible in production and log payment state transitions.</x:v>
      </x:c>
      <x:c r="K116" s="7" t="str">
        <x:v>Task-based usability</x:v>
      </x:c>
      <x:c r="L116" s="7" t="str">
        <x:v>P0</x:v>
      </x:c>
      <x:c r="M116" s="7" t="str">
        <x:v>Complete without facilitator; SEQ ≥5/7</x:v>
      </x:c>
      <x:c r="N116" s="7" t="str">
        <x:f>'Administrator'!K26</x:f>
        <x:v>Not Tested</x:v>
      </x:c>
      <x:c r="O116" s="7" t="n">
        <x:f>'Administrator'!L26</x:f>
        <x:v>0</x:v>
      </x:c>
      <x:c r="P116" s="7" t="n">
        <x:f>'Administrator'!M26</x:f>
        <x:v>0</x:v>
      </x:c>
      <x:c r="Q116" s="7" t="n">
        <x:f>'Administrator'!N26</x:f>
        <x:v>0</x:v>
      </x:c>
      <x:c r="R116" s="7" t="n">
        <x:f>'Administrator'!O26</x:f>
        <x:v>0</x:v>
      </x:c>
      <x:c r="S116" s="7" t="n">
        <x:f>'Administrator'!P26</x:f>
        <x:v>0</x:v>
      </x:c>
      <x:c r="T116" s="7" t="n">
        <x:f>'Administrator'!Q26</x:f>
        <x:v>0</x:v>
      </x:c>
      <x:c r="U116" s="7" t="n">
        <x:f>'Administrator'!R26</x:f>
        <x:v>0</x:v>
      </x:c>
      <x:c r="V116" s="7" t="str">
        <x:f>'Administrator'!S26</x:f>
      </x:c>
      <x:c r="W116" s="7" t="str">
        <x:v>R01</x:v>
      </x:c>
      <x:c r="X116" s="7" t="n">
        <x:f>'Administrator'!$B$5</x:f>
        <x:v>0</x:v>
      </x:c>
      <x:c r="Y116" s="48" t="n">
        <x:f>'Administrator'!V26</x:f>
        <x:v>0</x:v>
      </x:c>
      <x:c r="Z116" s="7" t="n">
        <x:f>'Administrator'!U26</x:f>
        <x:v>0</x:v>
      </x:c>
    </x:row>
    <x:row r="117">
      <x:c r="A117" s="7" t="str">
        <x:v>UX-116</x:v>
      </x:c>
      <x:c r="B117" s="7" t="str">
        <x:v>Administrator</x:v>
      </x:c>
      <x:c r="C117" s="7" t="str">
        <x:v>Articles</x:v>
      </x:c>
      <x:c r="D117" s="7" t="str">
        <x:v>Article CMS</x:v>
      </x:c>
      <x:c r="E117" s="7" t="str">
        <x:v>Create Draft/Publish article</x:v>
      </x:c>
      <x:c r="F117" s="7" t="str">
        <x:v>Publishing workspace should separate draft from publish and allow preview.</x:v>
      </x:c>
      <x:c r="G117" s="7" t="str">
        <x:v>User control; visibility</x:v>
      </x:c>
      <x:c r="H117" s="7" t="str">
        <x:v>Full-page Article Editor supports Draft/Publish.</x:v>
      </x:c>
      <x:c r="I117" s="7" t="str">
        <x:v>Partial</x:v>
      </x:c>
      <x:c r="J117" s="7" t="str">
        <x:v>Add actual article preview before publish and publication scheduling if needed.</x:v>
      </x:c>
      <x:c r="K117" s="7" t="str">
        <x:v>Task-based usability</x:v>
      </x:c>
      <x:c r="L117" s="7" t="str">
        <x:v>P1</x:v>
      </x:c>
      <x:c r="M117" s="7" t="str">
        <x:v>Complete without facilitator; SEQ ≥5/7</x:v>
      </x:c>
      <x:c r="N117" s="7" t="str">
        <x:f>'Administrator'!K27</x:f>
        <x:v>Not Tested</x:v>
      </x:c>
      <x:c r="O117" s="7" t="n">
        <x:f>'Administrator'!L27</x:f>
        <x:v>0</x:v>
      </x:c>
      <x:c r="P117" s="7" t="n">
        <x:f>'Administrator'!M27</x:f>
        <x:v>0</x:v>
      </x:c>
      <x:c r="Q117" s="7" t="n">
        <x:f>'Administrator'!N27</x:f>
        <x:v>0</x:v>
      </x:c>
      <x:c r="R117" s="7" t="n">
        <x:f>'Administrator'!O27</x:f>
        <x:v>0</x:v>
      </x:c>
      <x:c r="S117" s="7" t="n">
        <x:f>'Administrator'!P27</x:f>
        <x:v>0</x:v>
      </x:c>
      <x:c r="T117" s="7" t="n">
        <x:f>'Administrator'!Q27</x:f>
        <x:v>0</x:v>
      </x:c>
      <x:c r="U117" s="7" t="n">
        <x:f>'Administrator'!R27</x:f>
        <x:v>0</x:v>
      </x:c>
      <x:c r="V117" s="7" t="str">
        <x:f>'Administrator'!S27</x:f>
      </x:c>
      <x:c r="W117" s="7" t="str">
        <x:v>R01</x:v>
      </x:c>
      <x:c r="X117" s="7" t="n">
        <x:f>'Administrator'!$B$5</x:f>
        <x:v>0</x:v>
      </x:c>
      <x:c r="Y117" s="48" t="n">
        <x:f>'Administrator'!V27</x:f>
        <x:v>0</x:v>
      </x:c>
      <x:c r="Z117" s="7" t="n">
        <x:f>'Administrator'!U27</x:f>
        <x:v>0</x:v>
      </x:c>
    </x:row>
    <x:row r="118">
      <x:c r="A118" s="7" t="str">
        <x:v>UX-117</x:v>
      </x:c>
      <x:c r="B118" s="7" t="str">
        <x:v>Administrator</x:v>
      </x:c>
      <x:c r="C118" s="7" t="str">
        <x:v>Articles</x:v>
      </x:c>
      <x:c r="D118" s="7" t="str">
        <x:v>Search</x:v>
      </x:c>
      <x:c r="E118" s="7" t="str">
        <x:v>Search article list</x:v>
      </x:c>
      <x:c r="F118" s="7" t="str">
        <x:v>Visible search input must filter list or be removed.</x:v>
      </x:c>
      <x:c r="G118" s="7" t="str">
        <x:v>Avoid dead controls; consistency</x:v>
      </x:c>
      <x:c r="H118" s="7" t="str">
        <x:v>Article table displays a Search article field without bound state/filter behavior.</x:v>
      </x:c>
      <x:c r="I118" s="7" t="str">
        <x:v>Gap</x:v>
      </x:c>
      <x:c r="J118" s="7" t="str">
        <x:v>Wire search to title/category/tags or remove until implemented.</x:v>
      </x:c>
      <x:c r="K118" s="7" t="str">
        <x:v>Task-based usability</x:v>
      </x:c>
      <x:c r="L118" s="7" t="str">
        <x:v>P0</x:v>
      </x:c>
      <x:c r="M118" s="7" t="str">
        <x:v>Complete without facilitator; SEQ ≥5/7</x:v>
      </x:c>
      <x:c r="N118" s="7" t="str">
        <x:f>'Administrator'!K28</x:f>
        <x:v>Not Tested</x:v>
      </x:c>
      <x:c r="O118" s="7" t="n">
        <x:f>'Administrator'!L28</x:f>
        <x:v>0</x:v>
      </x:c>
      <x:c r="P118" s="7" t="n">
        <x:f>'Administrator'!M28</x:f>
        <x:v>0</x:v>
      </x:c>
      <x:c r="Q118" s="7" t="n">
        <x:f>'Administrator'!N28</x:f>
        <x:v>0</x:v>
      </x:c>
      <x:c r="R118" s="7" t="n">
        <x:f>'Administrator'!O28</x:f>
        <x:v>0</x:v>
      </x:c>
      <x:c r="S118" s="7" t="n">
        <x:f>'Administrator'!P28</x:f>
        <x:v>0</x:v>
      </x:c>
      <x:c r="T118" s="7" t="n">
        <x:f>'Administrator'!Q28</x:f>
        <x:v>0</x:v>
      </x:c>
      <x:c r="U118" s="7" t="n">
        <x:f>'Administrator'!R28</x:f>
        <x:v>0</x:v>
      </x:c>
      <x:c r="V118" s="7" t="str">
        <x:f>'Administrator'!S28</x:f>
      </x:c>
      <x:c r="W118" s="7" t="str">
        <x:v>R01</x:v>
      </x:c>
      <x:c r="X118" s="7" t="n">
        <x:f>'Administrator'!$B$5</x:f>
        <x:v>0</x:v>
      </x:c>
      <x:c r="Y118" s="48" t="n">
        <x:f>'Administrator'!V28</x:f>
        <x:v>0</x:v>
      </x:c>
      <x:c r="Z118" s="7" t="n">
        <x:f>'Administrator'!U28</x:f>
        <x:v>0</x:v>
      </x:c>
    </x:row>
    <x:row r="119">
      <x:c r="A119" s="7" t="str">
        <x:v>UX-118</x:v>
      </x:c>
      <x:c r="B119" s="7" t="str">
        <x:v>Administrator</x:v>
      </x:c>
      <x:c r="C119" s="7" t="str">
        <x:v>Articles</x:v>
      </x:c>
      <x:c r="D119" s="7" t="str">
        <x:v>Autosave/Revisions</x:v>
      </x:c>
      <x:c r="E119" s="7" t="str">
        <x:v>Recover editorial mistakes</x:v>
      </x:c>
      <x:c r="F119" s="7" t="str">
        <x:v>Content editing should autosave and support revision restore.</x:v>
      </x:c>
      <x:c r="G119" s="7" t="str">
        <x:v>Error recovery</x:v>
      </x:c>
      <x:c r="H119" s="7" t="str">
        <x:v>No autosave/revision workflow is evident.</x:v>
      </x:c>
      <x:c r="I119" s="7" t="str">
        <x:v>Gap</x:v>
      </x:c>
      <x:c r="J119" s="7" t="str">
        <x:v>Add autosave + revisions, especially before expanding Article CMS.</x:v>
      </x:c>
      <x:c r="K119" s="7" t="str">
        <x:v>Task-based usability</x:v>
      </x:c>
      <x:c r="L119" s="7" t="str">
        <x:v>P1</x:v>
      </x:c>
      <x:c r="M119" s="7" t="str">
        <x:v>Complete without facilitator; SEQ ≥5/7</x:v>
      </x:c>
      <x:c r="N119" s="7" t="str">
        <x:f>'Administrator'!K29</x:f>
        <x:v>Not Tested</x:v>
      </x:c>
      <x:c r="O119" s="7" t="n">
        <x:f>'Administrator'!L29</x:f>
        <x:v>0</x:v>
      </x:c>
      <x:c r="P119" s="7" t="n">
        <x:f>'Administrator'!M29</x:f>
        <x:v>0</x:v>
      </x:c>
      <x:c r="Q119" s="7" t="n">
        <x:f>'Administrator'!N29</x:f>
        <x:v>0</x:v>
      </x:c>
      <x:c r="R119" s="7" t="n">
        <x:f>'Administrator'!O29</x:f>
        <x:v>0</x:v>
      </x:c>
      <x:c r="S119" s="7" t="n">
        <x:f>'Administrator'!P29</x:f>
        <x:v>0</x:v>
      </x:c>
      <x:c r="T119" s="7" t="n">
        <x:f>'Administrator'!Q29</x:f>
        <x:v>0</x:v>
      </x:c>
      <x:c r="U119" s="7" t="n">
        <x:f>'Administrator'!R29</x:f>
        <x:v>0</x:v>
      </x:c>
      <x:c r="V119" s="7" t="str">
        <x:f>'Administrator'!S29</x:f>
      </x:c>
      <x:c r="W119" s="7" t="str">
        <x:v>R13,R14</x:v>
      </x:c>
      <x:c r="X119" s="7" t="n">
        <x:f>'Administrator'!$B$5</x:f>
        <x:v>0</x:v>
      </x:c>
      <x:c r="Y119" s="48" t="n">
        <x:f>'Administrator'!V29</x:f>
        <x:v>0</x:v>
      </x:c>
      <x:c r="Z119" s="7" t="n">
        <x:f>'Administrator'!U29</x:f>
        <x:v>0</x:v>
      </x:c>
    </x:row>
    <x:row r="120">
      <x:c r="A120" s="7" t="str">
        <x:v>UX-119</x:v>
      </x:c>
      <x:c r="B120" s="7" t="str">
        <x:v>Administrator</x:v>
      </x:c>
      <x:c r="C120" s="7" t="str">
        <x:v>Sound Library</x:v>
      </x:c>
      <x:c r="D120" s="7" t="str">
        <x:v>Catalog</x:v>
      </x:c>
      <x:c r="E120" s="7" t="str">
        <x:v>Upload, preview and delete catalog sounds</x:v>
      </x:c>
      <x:c r="F120" s="7" t="str">
        <x:v>Media library should expose file metadata, preview and safe deletion.</x:v>
      </x:c>
      <x:c r="G120" s="7" t="str">
        <x:v>Error prevention</x:v>
      </x:c>
      <x:c r="H120" s="7" t="str">
        <x:v>Admin Sound Catalog supports upload, preview and delete.</x:v>
      </x:c>
      <x:c r="I120" s="7" t="str">
        <x:v>Partial</x:v>
      </x:c>
      <x:c r="J120" s="7" t="str">
        <x:v>Warn when deleting a sound currently referenced by published sites.</x:v>
      </x:c>
      <x:c r="K120" s="7" t="str">
        <x:v>Task-based usability</x:v>
      </x:c>
      <x:c r="L120" s="7" t="str">
        <x:v>P1</x:v>
      </x:c>
      <x:c r="M120" s="7" t="str">
        <x:v>Complete without facilitator; SEQ ≥5/7</x:v>
      </x:c>
      <x:c r="N120" s="7" t="str">
        <x:f>'Administrator'!K30</x:f>
        <x:v>Not Tested</x:v>
      </x:c>
      <x:c r="O120" s="7" t="n">
        <x:f>'Administrator'!L30</x:f>
        <x:v>0</x:v>
      </x:c>
      <x:c r="P120" s="7" t="n">
        <x:f>'Administrator'!M30</x:f>
        <x:v>0</x:v>
      </x:c>
      <x:c r="Q120" s="7" t="n">
        <x:f>'Administrator'!N30</x:f>
        <x:v>0</x:v>
      </x:c>
      <x:c r="R120" s="7" t="n">
        <x:f>'Administrator'!O30</x:f>
        <x:v>0</x:v>
      </x:c>
      <x:c r="S120" s="7" t="n">
        <x:f>'Administrator'!P30</x:f>
        <x:v>0</x:v>
      </x:c>
      <x:c r="T120" s="7" t="n">
        <x:f>'Administrator'!Q30</x:f>
        <x:v>0</x:v>
      </x:c>
      <x:c r="U120" s="7" t="n">
        <x:f>'Administrator'!R30</x:f>
        <x:v>0</x:v>
      </x:c>
      <x:c r="V120" s="7" t="str">
        <x:f>'Administrator'!S30</x:f>
      </x:c>
      <x:c r="W120" s="7" t="str">
        <x:v>R01</x:v>
      </x:c>
      <x:c r="X120" s="7" t="n">
        <x:f>'Administrator'!$B$5</x:f>
        <x:v>0</x:v>
      </x:c>
      <x:c r="Y120" s="48" t="n">
        <x:f>'Administrator'!V30</x:f>
        <x:v>0</x:v>
      </x:c>
      <x:c r="Z120" s="7" t="n">
        <x:f>'Administrator'!U30</x:f>
        <x:v>0</x:v>
      </x:c>
    </x:row>
    <x:row r="121">
      <x:c r="A121" s="7" t="str">
        <x:v>UX-120</x:v>
      </x:c>
      <x:c r="B121" s="7" t="str">
        <x:v>Administrator</x:v>
      </x:c>
      <x:c r="C121" s="7" t="str">
        <x:v>Tasks</x:v>
      </x:c>
      <x:c r="D121" s="7" t="str">
        <x:v>Task Board</x:v>
      </x:c>
      <x:c r="E121" s="7" t="str">
        <x:v>Monitor operational tasks</x:v>
      </x:c>
      <x:c r="F121" s="7" t="str">
        <x:v>Admin should filter/search by assignee, role, priority, status, age and order.</x:v>
      </x:c>
      <x:c r="G121" s="7" t="str">
        <x:v>Efficiency</x:v>
      </x:c>
      <x:c r="H121" s="7" t="str">
        <x:v>Task board supports status filters and priority display.</x:v>
      </x:c>
      <x:c r="I121" s="7" t="str">
        <x:v>Partial</x:v>
      </x:c>
      <x:c r="J121" s="7" t="str">
        <x:v>Add search, assignee, priority and overdue filters plus bulk actions.</x:v>
      </x:c>
      <x:c r="K121" s="7" t="str">
        <x:v>Task-based usability</x:v>
      </x:c>
      <x:c r="L121" s="7" t="str">
        <x:v>P1</x:v>
      </x:c>
      <x:c r="M121" s="7" t="str">
        <x:v>Complete without facilitator; SEQ ≥5/7</x:v>
      </x:c>
      <x:c r="N121" s="7" t="str">
        <x:f>'Administrator'!K31</x:f>
        <x:v>Not Tested</x:v>
      </x:c>
      <x:c r="O121" s="7" t="n">
        <x:f>'Administrator'!L31</x:f>
        <x:v>0</x:v>
      </x:c>
      <x:c r="P121" s="7" t="n">
        <x:f>'Administrator'!M31</x:f>
        <x:v>0</x:v>
      </x:c>
      <x:c r="Q121" s="7" t="n">
        <x:f>'Administrator'!N31</x:f>
        <x:v>0</x:v>
      </x:c>
      <x:c r="R121" s="7" t="n">
        <x:f>'Administrator'!O31</x:f>
        <x:v>0</x:v>
      </x:c>
      <x:c r="S121" s="7" t="n">
        <x:f>'Administrator'!P31</x:f>
        <x:v>0</x:v>
      </x:c>
      <x:c r="T121" s="7" t="n">
        <x:f>'Administrator'!Q31</x:f>
        <x:v>0</x:v>
      </x:c>
      <x:c r="U121" s="7" t="n">
        <x:f>'Administrator'!R31</x:f>
        <x:v>0</x:v>
      </x:c>
      <x:c r="V121" s="7" t="str">
        <x:f>'Administrator'!S31</x:f>
      </x:c>
      <x:c r="W121" s="7" t="str">
        <x:v>R01</x:v>
      </x:c>
      <x:c r="X121" s="7" t="n">
        <x:f>'Administrator'!$B$5</x:f>
        <x:v>0</x:v>
      </x:c>
      <x:c r="Y121" s="48" t="n">
        <x:f>'Administrator'!V31</x:f>
        <x:v>0</x:v>
      </x:c>
      <x:c r="Z121" s="7" t="n">
        <x:f>'Administrator'!U31</x:f>
        <x:v>0</x:v>
      </x:c>
    </x:row>
    <x:row r="122">
      <x:c r="A122" s="7" t="str">
        <x:v>UX-121</x:v>
      </x:c>
      <x:c r="B122" s="7" t="str">
        <x:v>Administrator</x:v>
      </x:c>
      <x:c r="C122" s="7" t="str">
        <x:v>Customer Service</x:v>
      </x:c>
      <x:c r="D122" s="7" t="str">
        <x:v>CS Oversight</x:v>
      </x:c>
      <x:c r="E122" s="7" t="str">
        <x:v>Open CS dashboard/inbox</x:v>
      </x:c>
      <x:c r="F122" s="7" t="str">
        <x:v>Administrator should see aggregate support health and drill into any conversation.</x:v>
      </x:c>
      <x:c r="G122" s="7" t="str">
        <x:v>Visibility</x:v>
      </x:c>
      <x:c r="H122" s="7" t="str">
        <x:v>Admin has wildcard permission and can access CS Dashboard/Inbox.</x:v>
      </x:c>
      <x:c r="I122" s="7" t="str">
        <x:v>Meets</x:v>
      </x:c>
      <x:c r="J122" s="7" t="str">
        <x:v>Add SLA/backlog metrics before production operations scale.</x:v>
      </x:c>
      <x:c r="K122" s="7" t="str">
        <x:v>Task-based usability</x:v>
      </x:c>
      <x:c r="L122" s="7" t="str">
        <x:v>P1</x:v>
      </x:c>
      <x:c r="M122" s="7" t="str">
        <x:v>Complete without facilitator; SEQ ≥5/7</x:v>
      </x:c>
      <x:c r="N122" s="7" t="str">
        <x:f>'Administrator'!K32</x:f>
        <x:v>Not Tested</x:v>
      </x:c>
      <x:c r="O122" s="7" t="n">
        <x:f>'Administrator'!L32</x:f>
        <x:v>0</x:v>
      </x:c>
      <x:c r="P122" s="7" t="n">
        <x:f>'Administrator'!M32</x:f>
        <x:v>0</x:v>
      </x:c>
      <x:c r="Q122" s="7" t="n">
        <x:f>'Administrator'!N32</x:f>
        <x:v>0</x:v>
      </x:c>
      <x:c r="R122" s="7" t="n">
        <x:f>'Administrator'!O32</x:f>
        <x:v>0</x:v>
      </x:c>
      <x:c r="S122" s="7" t="n">
        <x:f>'Administrator'!P32</x:f>
        <x:v>0</x:v>
      </x:c>
      <x:c r="T122" s="7" t="n">
        <x:f>'Administrator'!Q32</x:f>
        <x:v>0</x:v>
      </x:c>
      <x:c r="U122" s="7" t="n">
        <x:f>'Administrator'!R32</x:f>
        <x:v>0</x:v>
      </x:c>
      <x:c r="V122" s="7" t="str">
        <x:f>'Administrator'!S32</x:f>
      </x:c>
      <x:c r="W122" s="7" t="str">
        <x:v>R11</x:v>
      </x:c>
      <x:c r="X122" s="7" t="n">
        <x:f>'Administrator'!$B$5</x:f>
        <x:v>0</x:v>
      </x:c>
      <x:c r="Y122" s="48" t="n">
        <x:f>'Administrator'!V32</x:f>
        <x:v>0</x:v>
      </x:c>
      <x:c r="Z122" s="7" t="n">
        <x:f>'Administrator'!U32</x:f>
        <x:v>0</x:v>
      </x:c>
    </x:row>
    <x:row r="123">
      <x:c r="A123" s="7" t="str">
        <x:v>UX-122</x:v>
      </x:c>
      <x:c r="B123" s="7" t="str">
        <x:v>Administrator</x:v>
      </x:c>
      <x:c r="C123" s="7" t="str">
        <x:v>Notifications</x:v>
      </x:c>
      <x:c r="D123" s="7" t="str">
        <x:v>Alerts</x:v>
      </x:c>
      <x:c r="E123" s="7" t="str">
        <x:v>Receive actionable task/chat notifications</x:v>
      </x:c>
      <x:c r="F123" s="7" t="str">
        <x:v>Alerts should indicate item, urgency and offer navigation; sound must be optional.</x:v>
      </x:c>
      <x:c r="G123" s="7" t="str">
        <x:v>Visibility; user control</x:v>
      </x:c>
      <x:c r="H123" s="7" t="str">
        <x:v>Sound notifications exist; mute preference exists.</x:v>
      </x:c>
      <x:c r="I123" s="7" t="str">
        <x:v>Partial</x:v>
      </x:c>
      <x:c r="J123" s="7" t="str">
        <x:v>Add notification center, unread count and severity-aware grouping.</x:v>
      </x:c>
      <x:c r="K123" s="7" t="str">
        <x:v>Task-based usability</x:v>
      </x:c>
      <x:c r="L123" s="7" t="str">
        <x:v>P1</x:v>
      </x:c>
      <x:c r="M123" s="7" t="str">
        <x:v>Complete without facilitator; SEQ ≥5/7</x:v>
      </x:c>
      <x:c r="N123" s="7" t="str">
        <x:f>'Administrator'!K33</x:f>
        <x:v>Not Tested</x:v>
      </x:c>
      <x:c r="O123" s="7" t="n">
        <x:f>'Administrator'!L33</x:f>
        <x:v>0</x:v>
      </x:c>
      <x:c r="P123" s="7" t="n">
        <x:f>'Administrator'!M33</x:f>
        <x:v>0</x:v>
      </x:c>
      <x:c r="Q123" s="7" t="n">
        <x:f>'Administrator'!N33</x:f>
        <x:v>0</x:v>
      </x:c>
      <x:c r="R123" s="7" t="n">
        <x:f>'Administrator'!O33</x:f>
        <x:v>0</x:v>
      </x:c>
      <x:c r="S123" s="7" t="n">
        <x:f>'Administrator'!P33</x:f>
        <x:v>0</x:v>
      </x:c>
      <x:c r="T123" s="7" t="n">
        <x:f>'Administrator'!Q33</x:f>
        <x:v>0</x:v>
      </x:c>
      <x:c r="U123" s="7" t="n">
        <x:f>'Administrator'!R33</x:f>
        <x:v>0</x:v>
      </x:c>
      <x:c r="V123" s="7" t="str">
        <x:f>'Administrator'!S33</x:f>
      </x:c>
      <x:c r="W123" s="7" t="str">
        <x:v>R01</x:v>
      </x:c>
      <x:c r="X123" s="7" t="n">
        <x:f>'Administrator'!$B$5</x:f>
        <x:v>0</x:v>
      </x:c>
      <x:c r="Y123" s="48" t="n">
        <x:f>'Administrator'!V33</x:f>
        <x:v>0</x:v>
      </x:c>
      <x:c r="Z123" s="7" t="n">
        <x:f>'Administrator'!U33</x:f>
        <x:v>0</x:v>
      </x:c>
    </x:row>
    <x:row r="124">
      <x:c r="A124" s="7" t="str">
        <x:v>UX-123</x:v>
      </x:c>
      <x:c r="B124" s="7" t="str">
        <x:v>Administrator</x:v>
      </x:c>
      <x:c r="C124" s="7" t="str">
        <x:v>Settings</x:v>
      </x:c>
      <x:c r="D124" s="7" t="str">
        <x:v>Public vs Internal Status</x:v>
      </x:c>
      <x:c r="E124" s="7" t="str">
        <x:v>Keep system health visible to Admin, not customers</x:v>
      </x:c>
      <x:c r="F124" s="7" t="str">
        <x:v>Operational database/API health belongs in admin observability, not marketing/customer pages.</x:v>
      </x:c>
      <x:c r="G124" s="7" t="str">
        <x:v>Match audience; minimalist design</x:v>
      </x:c>
      <x:c r="H124" s="7" t="str">
        <x:v>Landing currently shows Database connected/API offline badge.</x:v>
      </x:c>
      <x:c r="I124" s="7" t="str">
        <x:v>Gap</x:v>
      </x:c>
      <x:c r="J124" s="7" t="str">
        <x:v>Move API/DB health to Administrator-only System Status page.</x:v>
      </x:c>
      <x:c r="K124" s="7" t="str">
        <x:v>Task-based usability</x:v>
      </x:c>
      <x:c r="L124" s="7" t="str">
        <x:v>P0</x:v>
      </x:c>
      <x:c r="M124" s="7" t="str">
        <x:v>Complete without facilitator; SEQ ≥5/7</x:v>
      </x:c>
      <x:c r="N124" s="7" t="str">
        <x:f>'Administrator'!K34</x:f>
        <x:v>Not Tested</x:v>
      </x:c>
      <x:c r="O124" s="7" t="n">
        <x:f>'Administrator'!L34</x:f>
        <x:v>0</x:v>
      </x:c>
      <x:c r="P124" s="7" t="n">
        <x:f>'Administrator'!M34</x:f>
        <x:v>0</x:v>
      </x:c>
      <x:c r="Q124" s="7" t="n">
        <x:f>'Administrator'!N34</x:f>
        <x:v>0</x:v>
      </x:c>
      <x:c r="R124" s="7" t="n">
        <x:f>'Administrator'!O34</x:f>
        <x:v>0</x:v>
      </x:c>
      <x:c r="S124" s="7" t="n">
        <x:f>'Administrator'!P34</x:f>
        <x:v>0</x:v>
      </x:c>
      <x:c r="T124" s="7" t="n">
        <x:f>'Administrator'!Q34</x:f>
        <x:v>0</x:v>
      </x:c>
      <x:c r="U124" s="7" t="n">
        <x:f>'Administrator'!R34</x:f>
        <x:v>0</x:v>
      </x:c>
      <x:c r="V124" s="7" t="str">
        <x:f>'Administrator'!S34</x:f>
      </x:c>
      <x:c r="W124" s="7" t="str">
        <x:v>R01</x:v>
      </x:c>
      <x:c r="X124" s="7" t="n">
        <x:f>'Administrator'!$B$5</x:f>
        <x:v>0</x:v>
      </x:c>
      <x:c r="Y124" s="48" t="n">
        <x:f>'Administrator'!V34</x:f>
        <x:v>0</x:v>
      </x:c>
      <x:c r="Z124" s="7" t="n">
        <x:f>'Administrator'!U34</x:f>
        <x:v>0</x:v>
      </x:c>
    </x:row>
    <x:row r="125">
      <x:c r="A125" s="7" t="str">
        <x:v>UX-124</x:v>
      </x:c>
      <x:c r="B125" s="7" t="str">
        <x:v>Administrator</x:v>
      </x:c>
      <x:c r="C125" s="7" t="str">
        <x:v>Security</x:v>
      </x:c>
      <x:c r="D125" s="7" t="str">
        <x:v>Default Credentials</x:v>
      </x:c>
      <x:c r="E125" s="7" t="str">
        <x:v>Operate without exposed default admin credentials</x:v>
      </x:c>
      <x:c r="F125" s="7" t="str">
        <x:v>Staging/production should force secure credential setup and never display default password hints.</x:v>
      </x:c>
      <x:c r="G125" s="7" t="str">
        <x:v>Error prevention; security trust</x:v>
      </x:c>
      <x:c r="H125" s="7" t="str">
        <x:v>Source ships admin/admin and UI hints it on login.</x:v>
      </x:c>
      <x:c r="I125" s="7" t="str">
        <x:v>Gap</x:v>
      </x:c>
      <x:c r="J125" s="7" t="str">
        <x:v>On first staging deploy require password change; production seed should use secret/env or admin bootstrap flow.</x:v>
      </x:c>
      <x:c r="K125" s="7" t="str">
        <x:v>Task-based usability</x:v>
      </x:c>
      <x:c r="L125" s="7" t="str">
        <x:v>P0</x:v>
      </x:c>
      <x:c r="M125" s="7" t="str">
        <x:v>Complete without facilitator; SEQ ≥5/7</x:v>
      </x:c>
      <x:c r="N125" s="7" t="str">
        <x:f>'Administrator'!K35</x:f>
        <x:v>Not Tested</x:v>
      </x:c>
      <x:c r="O125" s="7" t="n">
        <x:f>'Administrator'!L35</x:f>
        <x:v>0</x:v>
      </x:c>
      <x:c r="P125" s="7" t="n">
        <x:f>'Administrator'!M35</x:f>
        <x:v>0</x:v>
      </x:c>
      <x:c r="Q125" s="7" t="n">
        <x:f>'Administrator'!N35</x:f>
        <x:v>0</x:v>
      </x:c>
      <x:c r="R125" s="7" t="n">
        <x:f>'Administrator'!O35</x:f>
        <x:v>0</x:v>
      </x:c>
      <x:c r="S125" s="7" t="n">
        <x:f>'Administrator'!P35</x:f>
        <x:v>0</x:v>
      </x:c>
      <x:c r="T125" s="7" t="n">
        <x:f>'Administrator'!Q35</x:f>
        <x:v>0</x:v>
      </x:c>
      <x:c r="U125" s="7" t="n">
        <x:f>'Administrator'!R35</x:f>
        <x:v>0</x:v>
      </x:c>
      <x:c r="V125" s="7" t="str">
        <x:f>'Administrator'!S35</x:f>
      </x:c>
      <x:c r="W125" s="7" t="str">
        <x:v>R03,R15</x:v>
      </x:c>
      <x:c r="X125" s="7" t="n">
        <x:f>'Administrator'!$B$5</x:f>
        <x:v>0</x:v>
      </x:c>
      <x:c r="Y125" s="48" t="n">
        <x:f>'Administrator'!V35</x:f>
        <x:v>0</x:v>
      </x:c>
      <x:c r="Z125" s="7" t="n">
        <x:f>'Administrator'!U35</x:f>
        <x:v>0</x:v>
      </x:c>
    </x:row>
    <x:row r="126">
      <x:c r="A126" s="7" t="str">
        <x:v>UX-125</x:v>
      </x:c>
      <x:c r="B126" s="7" t="str">
        <x:v>Administrator</x:v>
      </x:c>
      <x:c r="C126" s="7" t="str">
        <x:v>Accessibility</x:v>
      </x:c>
      <x:c r="D126" s="7" t="str">
        <x:v>Complex Console</x:v>
      </x:c>
      <x:c r="E126" s="7" t="str">
        <x:v>Operate keyboard-first through forms/tables/dialogs</x:v>
      </x:c>
      <x:c r="F126" s="7" t="str">
        <x:v>Admin tables, dialogs and permission controls should have visible focus, logical order and labels.</x:v>
      </x:c>
      <x:c r="G126" s="7" t="str">
        <x:v>Accessibility</x:v>
      </x:c>
      <x:c r="H126" s="7" t="str">
        <x:v>No comprehensive keyboard/focus audit is documented.</x:v>
      </x:c>
      <x:c r="I126" s="7" t="str">
        <x:v>Needs User Test</x:v>
      </x:c>
      <x:c r="J126" s="7" t="str">
        <x:v>Run keyboard-only account creation, role edit, approval, article publish and payment settings.</x:v>
      </x:c>
      <x:c r="K126" s="7" t="str">
        <x:v>WCAG manual</x:v>
      </x:c>
      <x:c r="L126" s="7" t="str">
        <x:v>P0</x:v>
      </x:c>
      <x:c r="M126" s="7" t="str">
        <x:v>Complete without facilitator; SEQ ≥5/7</x:v>
      </x:c>
      <x:c r="N126" s="7" t="str">
        <x:f>'Administrator'!K36</x:f>
        <x:v>Not Tested</x:v>
      </x:c>
      <x:c r="O126" s="7" t="n">
        <x:f>'Administrator'!L36</x:f>
        <x:v>0</x:v>
      </x:c>
      <x:c r="P126" s="7" t="n">
        <x:f>'Administrator'!M36</x:f>
        <x:v>0</x:v>
      </x:c>
      <x:c r="Q126" s="7" t="n">
        <x:f>'Administrator'!N36</x:f>
        <x:v>0</x:v>
      </x:c>
      <x:c r="R126" s="7" t="n">
        <x:f>'Administrator'!O36</x:f>
        <x:v>0</x:v>
      </x:c>
      <x:c r="S126" s="7" t="n">
        <x:f>'Administrator'!P36</x:f>
        <x:v>0</x:v>
      </x:c>
      <x:c r="T126" s="7" t="n">
        <x:f>'Administrator'!Q36</x:f>
        <x:v>0</x:v>
      </x:c>
      <x:c r="U126" s="7" t="n">
        <x:f>'Administrator'!R36</x:f>
        <x:v>0</x:v>
      </x:c>
      <x:c r="V126" s="7" t="n">
        <x:f>'Administrator'!S36</x:f>
        <x:v>0</x:v>
      </x:c>
      <x:c r="W126" s="7" t="str">
        <x:v>R03,R05</x:v>
      </x:c>
      <x:c r="X126" s="7" t="n">
        <x:f>'Administrator'!$B$5</x:f>
        <x:v>0</x:v>
      </x:c>
      <x:c r="Y126" s="48" t="n">
        <x:f>'Administrator'!V36</x:f>
        <x:v>0</x:v>
      </x:c>
      <x:c r="Z126" s="7" t="n">
        <x:f>'Administrator'!U36</x:f>
        <x:v>0</x:v>
      </x:c>
    </x:row>
    <x:row r="127">
      <x:c r="A127" s="7" t="str">
        <x:v>UX-126</x:v>
      </x:c>
      <x:c r="B127" s="7" t="str">
        <x:v>Customer Service</x:v>
      </x:c>
      <x:c r="C127" s="7" t="str">
        <x:v>Dashboard</x:v>
      </x:c>
      <x:c r="D127" s="7" t="str">
        <x:v>Entry Point</x:v>
      </x:c>
      <x:c r="E127" s="7" t="str">
        <x:v>Land on CS dashboard after login</x:v>
      </x:c>
      <x:c r="F127" s="7" t="str">
        <x:v>CS should start with queue health and clear primary action to open Inbox.</x:v>
      </x:c>
      <x:c r="G127" s="7" t="str">
        <x:v>Role-focused navigation</x:v>
      </x:c>
      <x:c r="H127" s="7" t="str">
        <x:v>Role fallback routes to cs-dashboard; dashboard has Open inbox/Open tasks.</x:v>
      </x:c>
      <x:c r="I127" s="7" t="str">
        <x:v>Meets</x:v>
      </x:c>
      <x:c r="J127" s="7" t="str">
        <x:v>Retain CS-specific landing and avoid unrelated modules.</x:v>
      </x:c>
      <x:c r="K127" s="7" t="str">
        <x:v>Task-based usability</x:v>
      </x:c>
      <x:c r="L127" s="7" t="str">
        <x:v>P1</x:v>
      </x:c>
      <x:c r="M127" s="7" t="str">
        <x:v>Complete without facilitator; SEQ ≥5/7</x:v>
      </x:c>
      <x:c r="N127" s="7" t="str">
        <x:f>'Customer Service'!K10</x:f>
        <x:v>Not Tested</x:v>
      </x:c>
      <x:c r="O127" s="7" t="n">
        <x:f>'Customer Service'!L10</x:f>
        <x:v>0</x:v>
      </x:c>
      <x:c r="P127" s="7" t="n">
        <x:f>'Customer Service'!M10</x:f>
        <x:v>0</x:v>
      </x:c>
      <x:c r="Q127" s="7" t="n">
        <x:f>'Customer Service'!N10</x:f>
        <x:v>0</x:v>
      </x:c>
      <x:c r="R127" s="7" t="n">
        <x:f>'Customer Service'!O10</x:f>
        <x:v>0</x:v>
      </x:c>
      <x:c r="S127" s="7" t="n">
        <x:f>'Customer Service'!P10</x:f>
        <x:v>0</x:v>
      </x:c>
      <x:c r="T127" s="7" t="n">
        <x:f>'Customer Service'!Q10</x:f>
        <x:v>0</x:v>
      </x:c>
      <x:c r="U127" s="7" t="n">
        <x:f>'Customer Service'!R10</x:f>
        <x:v>0</x:v>
      </x:c>
      <x:c r="V127" s="7" t="str">
        <x:f>'Customer Service'!S10</x:f>
      </x:c>
      <x:c r="W127" s="7" t="str">
        <x:v>R01,R15</x:v>
      </x:c>
      <x:c r="X127" s="7" t="n">
        <x:f>'Customer Service'!$B$5</x:f>
        <x:v>0</x:v>
      </x:c>
      <x:c r="Y127" s="48" t="n">
        <x:f>'Customer Service'!V10</x:f>
        <x:v>0</x:v>
      </x:c>
      <x:c r="Z127" s="7" t="n">
        <x:f>'Customer Service'!U10</x:f>
        <x:v>0</x:v>
      </x:c>
    </x:row>
    <x:row r="128">
      <x:c r="A128" s="7" t="str">
        <x:v>UX-127</x:v>
      </x:c>
      <x:c r="B128" s="7" t="str">
        <x:v>Customer Service</x:v>
      </x:c>
      <x:c r="C128" s="7" t="str">
        <x:v>Dashboard</x:v>
      </x:c>
      <x:c r="D128" s="7" t="str">
        <x:v>Metrics</x:v>
      </x:c>
      <x:c r="E128" s="7" t="str">
        <x:v>Trust Incoming, Replies, Active and Resolved counts</x:v>
      </x:c>
      <x:c r="F128" s="7" t="str">
        <x:v>Metrics should come from actual conversation/message state and define the scope.</x:v>
      </x:c>
      <x:c r="G128" s="7" t="str">
        <x:v>Trustworthy status</x:v>
      </x:c>
      <x:c r="H128" s="7" t="str">
        <x:v>Metrics are database-backed; incoming excludes system messages after v0.12.</x:v>
      </x:c>
      <x:c r="I128" s="7" t="str">
        <x:v>Meets</x:v>
      </x:c>
      <x:c r="J128" s="7" t="str">
        <x:v>Add date window and assigned-to-me vs team scope labels.</x:v>
      </x:c>
      <x:c r="K128" s="7" t="str">
        <x:v>Task-based usability</x:v>
      </x:c>
      <x:c r="L128" s="7" t="str">
        <x:v>P1</x:v>
      </x:c>
      <x:c r="M128" s="7" t="str">
        <x:v>Complete without facilitator; SEQ ≥5/7</x:v>
      </x:c>
      <x:c r="N128" s="7" t="str">
        <x:f>'Customer Service'!K11</x:f>
        <x:v>Not Tested</x:v>
      </x:c>
      <x:c r="O128" s="7" t="n">
        <x:f>'Customer Service'!L11</x:f>
        <x:v>0</x:v>
      </x:c>
      <x:c r="P128" s="7" t="n">
        <x:f>'Customer Service'!M11</x:f>
        <x:v>0</x:v>
      </x:c>
      <x:c r="Q128" s="7" t="n">
        <x:f>'Customer Service'!N11</x:f>
        <x:v>0</x:v>
      </x:c>
      <x:c r="R128" s="7" t="n">
        <x:f>'Customer Service'!O11</x:f>
        <x:v>0</x:v>
      </x:c>
      <x:c r="S128" s="7" t="n">
        <x:f>'Customer Service'!P11</x:f>
        <x:v>0</x:v>
      </x:c>
      <x:c r="T128" s="7" t="n">
        <x:f>'Customer Service'!Q11</x:f>
        <x:v>0</x:v>
      </x:c>
      <x:c r="U128" s="7" t="n">
        <x:f>'Customer Service'!R11</x:f>
        <x:v>0</x:v>
      </x:c>
      <x:c r="V128" s="7" t="str">
        <x:f>'Customer Service'!S11</x:f>
      </x:c>
      <x:c r="W128" s="7" t="str">
        <x:v>R01</x:v>
      </x:c>
      <x:c r="X128" s="7" t="n">
        <x:f>'Customer Service'!$B$5</x:f>
        <x:v>0</x:v>
      </x:c>
      <x:c r="Y128" s="48" t="n">
        <x:f>'Customer Service'!V11</x:f>
        <x:v>0</x:v>
      </x:c>
      <x:c r="Z128" s="7" t="n">
        <x:f>'Customer Service'!U11</x:f>
        <x:v>0</x:v>
      </x:c>
    </x:row>
    <x:row r="129">
      <x:c r="A129" s="7" t="str">
        <x:v>UX-128</x:v>
      </x:c>
      <x:c r="B129" s="7" t="str">
        <x:v>Customer Service</x:v>
      </x:c>
      <x:c r="C129" s="7" t="str">
        <x:v>Dashboard</x:v>
      </x:c>
      <x:c r="D129" s="7" t="str">
        <x:v>Drilldown</x:v>
      </x:c>
      <x:c r="E129" s="7" t="str">
        <x:v>Click metric and see matching conversation set</x:v>
      </x:c>
      <x:c r="F129" s="7" t="str">
        <x:v>Metrics should drill into a filtered inbox reflecting the count.</x:v>
      </x:c>
      <x:c r="G129" s="7" t="str">
        <x:v>Efficiency; visibility</x:v>
      </x:c>
      <x:c r="H129" s="7" t="str">
        <x:v>All metric cards route to generic Support Inbox without preserving filter.</x:v>
      </x:c>
      <x:c r="I129" s="7" t="str">
        <x:v>Gap</x:v>
      </x:c>
      <x:c r="J129" s="7" t="str">
        <x:v>Deep-link each metric to filtered Inbox (e.g., Active/Open, Resolved, Awaiting Reply).</x:v>
      </x:c>
      <x:c r="K129" s="7" t="str">
        <x:v>Task-based usability</x:v>
      </x:c>
      <x:c r="L129" s="7" t="str">
        <x:v>P1</x:v>
      </x:c>
      <x:c r="M129" s="7" t="str">
        <x:v>Complete without facilitator; SEQ ≥5/7</x:v>
      </x:c>
      <x:c r="N129" s="7" t="str">
        <x:f>'Customer Service'!K12</x:f>
        <x:v>Not Tested</x:v>
      </x:c>
      <x:c r="O129" s="7" t="n">
        <x:f>'Customer Service'!L12</x:f>
        <x:v>0</x:v>
      </x:c>
      <x:c r="P129" s="7" t="n">
        <x:f>'Customer Service'!M12</x:f>
        <x:v>0</x:v>
      </x:c>
      <x:c r="Q129" s="7" t="n">
        <x:f>'Customer Service'!N12</x:f>
        <x:v>0</x:v>
      </x:c>
      <x:c r="R129" s="7" t="n">
        <x:f>'Customer Service'!O12</x:f>
        <x:v>0</x:v>
      </x:c>
      <x:c r="S129" s="7" t="n">
        <x:f>'Customer Service'!P12</x:f>
        <x:v>0</x:v>
      </x:c>
      <x:c r="T129" s="7" t="n">
        <x:f>'Customer Service'!Q12</x:f>
        <x:v>0</x:v>
      </x:c>
      <x:c r="U129" s="7" t="n">
        <x:f>'Customer Service'!R12</x:f>
        <x:v>0</x:v>
      </x:c>
      <x:c r="V129" s="7" t="str">
        <x:f>'Customer Service'!S12</x:f>
      </x:c>
      <x:c r="W129" s="7" t="str">
        <x:v>R01,R11</x:v>
      </x:c>
      <x:c r="X129" s="7" t="n">
        <x:f>'Customer Service'!$B$5</x:f>
        <x:v>0</x:v>
      </x:c>
      <x:c r="Y129" s="48" t="n">
        <x:f>'Customer Service'!V12</x:f>
        <x:v>0</x:v>
      </x:c>
      <x:c r="Z129" s="7" t="n">
        <x:f>'Customer Service'!U12</x:f>
        <x:v>0</x:v>
      </x:c>
    </x:row>
    <x:row r="130">
      <x:c r="A130" s="7" t="str">
        <x:v>UX-129</x:v>
      </x:c>
      <x:c r="B130" s="7" t="str">
        <x:v>Customer Service</x:v>
      </x:c>
      <x:c r="C130" s="7" t="str">
        <x:v>Inbox</x:v>
      </x:c>
      <x:c r="D130" s="7" t="str">
        <x:v>All Inbound</x:v>
      </x:c>
      <x:c r="E130" s="7" t="str">
        <x:v>Receive landing, Customer and order conversations</x:v>
      </x:c>
      <x:c r="F130" s="7" t="str">
        <x:v>All supported inbound channels should converge into one queue with channel/context.</x:v>
      </x:c>
      <x:c r="G130" s="7" t="str">
        <x:v>Omnichannel consistency</x:v>
      </x:c>
      <x:c r="H130" s="7" t="str">
        <x:v>Database Inbox is designed to contain landing, User dashboard, checkout and outbound team threads.</x:v>
      </x:c>
      <x:c r="I130" s="7" t="str">
        <x:v>Meets</x:v>
      </x:c>
      <x:c r="J130" s="7" t="str">
        <x:v>Test channel labels and deduplication across email/web/WhatsApp when integrated.</x:v>
      </x:c>
      <x:c r="K130" s="7" t="str">
        <x:v>Task-based usability</x:v>
      </x:c>
      <x:c r="L130" s="7" t="str">
        <x:v>P1</x:v>
      </x:c>
      <x:c r="M130" s="7" t="str">
        <x:v>Complete without facilitator; SEQ ≥5/7</x:v>
      </x:c>
      <x:c r="N130" s="7" t="str">
        <x:f>'Customer Service'!K13</x:f>
        <x:v>Not Tested</x:v>
      </x:c>
      <x:c r="O130" s="7" t="n">
        <x:f>'Customer Service'!L13</x:f>
        <x:v>0</x:v>
      </x:c>
      <x:c r="P130" s="7" t="n">
        <x:f>'Customer Service'!M13</x:f>
        <x:v>0</x:v>
      </x:c>
      <x:c r="Q130" s="7" t="n">
        <x:f>'Customer Service'!N13</x:f>
        <x:v>0</x:v>
      </x:c>
      <x:c r="R130" s="7" t="n">
        <x:f>'Customer Service'!O13</x:f>
        <x:v>0</x:v>
      </x:c>
      <x:c r="S130" s="7" t="n">
        <x:f>'Customer Service'!P13</x:f>
        <x:v>0</x:v>
      </x:c>
      <x:c r="T130" s="7" t="n">
        <x:f>'Customer Service'!Q13</x:f>
        <x:v>0</x:v>
      </x:c>
      <x:c r="U130" s="7" t="n">
        <x:f>'Customer Service'!R13</x:f>
        <x:v>0</x:v>
      </x:c>
      <x:c r="V130" s="7" t="str">
        <x:f>'Customer Service'!S13</x:f>
      </x:c>
      <x:c r="W130" s="7" t="str">
        <x:v>R09</x:v>
      </x:c>
      <x:c r="X130" s="7" t="n">
        <x:f>'Customer Service'!$B$5</x:f>
        <x:v>0</x:v>
      </x:c>
      <x:c r="Y130" s="48" t="n">
        <x:f>'Customer Service'!V13</x:f>
        <x:v>0</x:v>
      </x:c>
      <x:c r="Z130" s="7" t="n">
        <x:f>'Customer Service'!U13</x:f>
        <x:v>0</x:v>
      </x:c>
    </x:row>
    <x:row r="131">
      <x:c r="A131" s="7" t="str">
        <x:v>UX-130</x:v>
      </x:c>
      <x:c r="B131" s="7" t="str">
        <x:v>Customer Service</x:v>
      </x:c>
      <x:c r="C131" s="7" t="str">
        <x:v>Inbox</x:v>
      </x:c>
      <x:c r="D131" s="7" t="str">
        <x:v>Search</x:v>
      </x:c>
      <x:c r="E131" s="7" t="str">
        <x:v>Find a conversation by customer/order</x:v>
      </x:c>
      <x:c r="F131" s="7" t="str">
        <x:v>Search field should actually filter by customer, email, phone and order reference.</x:v>
      </x:c>
      <x:c r="G131" s="7" t="str">
        <x:v>Efficiency; avoid dead controls</x:v>
      </x:c>
      <x:c r="H131" s="7" t="str">
        <x:v>Conversation list shows 'Cari conversation...' input but no bound state/filter logic.</x:v>
      </x:c>
      <x:c r="I131" s="7" t="str">
        <x:v>Gap</x:v>
      </x:c>
      <x:c r="J131" s="7" t="str">
        <x:v>Implement search and keyboard shortcut; index common identifiers.</x:v>
      </x:c>
      <x:c r="K131" s="7" t="str">
        <x:v>Task-based usability</x:v>
      </x:c>
      <x:c r="L131" s="7" t="str">
        <x:v>P0</x:v>
      </x:c>
      <x:c r="M131" s="7" t="str">
        <x:v>Complete without facilitator; SEQ ≥5/7</x:v>
      </x:c>
      <x:c r="N131" s="7" t="str">
        <x:f>'Customer Service'!K14</x:f>
        <x:v>Not Tested</x:v>
      </x:c>
      <x:c r="O131" s="7" t="n">
        <x:f>'Customer Service'!L14</x:f>
        <x:v>0</x:v>
      </x:c>
      <x:c r="P131" s="7" t="n">
        <x:f>'Customer Service'!M14</x:f>
        <x:v>0</x:v>
      </x:c>
      <x:c r="Q131" s="7" t="n">
        <x:f>'Customer Service'!N14</x:f>
        <x:v>0</x:v>
      </x:c>
      <x:c r="R131" s="7" t="n">
        <x:f>'Customer Service'!O14</x:f>
        <x:v>0</x:v>
      </x:c>
      <x:c r="S131" s="7" t="n">
        <x:f>'Customer Service'!P14</x:f>
        <x:v>0</x:v>
      </x:c>
      <x:c r="T131" s="7" t="n">
        <x:f>'Customer Service'!Q14</x:f>
        <x:v>0</x:v>
      </x:c>
      <x:c r="U131" s="7" t="n">
        <x:f>'Customer Service'!R14</x:f>
        <x:v>0</x:v>
      </x:c>
      <x:c r="V131" s="7" t="str">
        <x:f>'Customer Service'!S14</x:f>
      </x:c>
      <x:c r="W131" s="7" t="str">
        <x:v>R01,R09</x:v>
      </x:c>
      <x:c r="X131" s="7" t="n">
        <x:f>'Customer Service'!$B$5</x:f>
        <x:v>0</x:v>
      </x:c>
      <x:c r="Y131" s="48" t="n">
        <x:f>'Customer Service'!V14</x:f>
        <x:v>0</x:v>
      </x:c>
      <x:c r="Z131" s="7" t="n">
        <x:f>'Customer Service'!U14</x:f>
        <x:v>0</x:v>
      </x:c>
    </x:row>
    <x:row r="132">
      <x:c r="A132" s="7" t="str">
        <x:v>UX-131</x:v>
      </x:c>
      <x:c r="B132" s="7" t="str">
        <x:v>Customer Service</x:v>
      </x:c>
      <x:c r="C132" s="7" t="str">
        <x:v>Inbox</x:v>
      </x:c>
      <x:c r="D132" s="7" t="str">
        <x:v>Views/Filters</x:v>
      </x:c>
      <x:c r="E132" s="7" t="str">
        <x:v>Filter queue by status/team/tag</x:v>
      </x:c>
      <x:c r="F132" s="7" t="str">
        <x:v>Support teams need simple views and filters rather than scanning one long list.</x:v>
      </x:c>
      <x:c r="G132" s="7" t="str">
        <x:v>Support queue efficiency</x:v>
      </x:c>
      <x:c r="H132" s="7" t="str">
        <x:v>No inbox status/team/tag filter UI is evident.</x:v>
      </x:c>
      <x:c r="I132" s="7" t="str">
        <x:v>Gap</x:v>
      </x:c>
      <x:c r="J132" s="7" t="str">
        <x:v>Add My Open, Unassigned, Waiting Customer, Resolved + team/tag filters.</x:v>
      </x:c>
      <x:c r="K132" s="7" t="str">
        <x:v>Task-based usability</x:v>
      </x:c>
      <x:c r="L132" s="7" t="str">
        <x:v>P0</x:v>
      </x:c>
      <x:c r="M132" s="7" t="str">
        <x:v>Complete without facilitator; SEQ ≥5/7</x:v>
      </x:c>
      <x:c r="N132" s="7" t="str">
        <x:f>'Customer Service'!K15</x:f>
        <x:v>Not Tested</x:v>
      </x:c>
      <x:c r="O132" s="7" t="n">
        <x:f>'Customer Service'!L15</x:f>
        <x:v>0</x:v>
      </x:c>
      <x:c r="P132" s="7" t="n">
        <x:f>'Customer Service'!M15</x:f>
        <x:v>0</x:v>
      </x:c>
      <x:c r="Q132" s="7" t="n">
        <x:f>'Customer Service'!N15</x:f>
        <x:v>0</x:v>
      </x:c>
      <x:c r="R132" s="7" t="n">
        <x:f>'Customer Service'!O15</x:f>
        <x:v>0</x:v>
      </x:c>
      <x:c r="S132" s="7" t="n">
        <x:f>'Customer Service'!P15</x:f>
        <x:v>0</x:v>
      </x:c>
      <x:c r="T132" s="7" t="n">
        <x:f>'Customer Service'!Q15</x:f>
        <x:v>0</x:v>
      </x:c>
      <x:c r="U132" s="7" t="n">
        <x:f>'Customer Service'!R15</x:f>
        <x:v>0</x:v>
      </x:c>
      <x:c r="V132" s="7" t="str">
        <x:f>'Customer Service'!S15</x:f>
      </x:c>
      <x:c r="W132" s="7" t="str">
        <x:v>R09</x:v>
      </x:c>
      <x:c r="X132" s="7" t="n">
        <x:f>'Customer Service'!$B$5</x:f>
        <x:v>0</x:v>
      </x:c>
      <x:c r="Y132" s="48" t="n">
        <x:f>'Customer Service'!V15</x:f>
        <x:v>0</x:v>
      </x:c>
      <x:c r="Z132" s="7" t="n">
        <x:f>'Customer Service'!U15</x:f>
        <x:v>0</x:v>
      </x:c>
    </x:row>
    <x:row r="133">
      <x:c r="A133" s="7" t="str">
        <x:v>UX-132</x:v>
      </x:c>
      <x:c r="B133" s="7" t="str">
        <x:v>Customer Service</x:v>
      </x:c>
      <x:c r="C133" s="7" t="str">
        <x:v>Inbox</x:v>
      </x:c>
      <x:c r="D133" s="7" t="str">
        <x:v>SLA Priority</x:v>
      </x:c>
      <x:c r="E133" s="7" t="str">
        <x:v>Know which conversation needs response first</x:v>
      </x:c>
      <x:c r="F133" s="7" t="str">
        <x:v>Queue should expose first/next reply SLA and allow sorting by breach risk.</x:v>
      </x:c>
      <x:c r="G133" s="7" t="str">
        <x:v>Time-critical queue management</x:v>
      </x:c>
      <x:c r="H133" s="7" t="str">
        <x:v>No SLA timers/sorting are present.</x:v>
      </x:c>
      <x:c r="I133" s="7" t="str">
        <x:v>Gap</x:v>
      </x:c>
      <x:c r="J133" s="7" t="str">
        <x:v>Add FRT/NRT targets, countdown/breach state and SLA sorting.</x:v>
      </x:c>
      <x:c r="K133" s="7" t="str">
        <x:v>Task-based usability</x:v>
      </x:c>
      <x:c r="L133" s="7" t="str">
        <x:v>P0</x:v>
      </x:c>
      <x:c r="M133" s="7" t="str">
        <x:v>Complete without facilitator; SEQ ≥5/7</x:v>
      </x:c>
      <x:c r="N133" s="7" t="str">
        <x:f>'Customer Service'!K16</x:f>
        <x:v>Not Tested</x:v>
      </x:c>
      <x:c r="O133" s="7" t="n">
        <x:f>'Customer Service'!L16</x:f>
        <x:v>0</x:v>
      </x:c>
      <x:c r="P133" s="7" t="n">
        <x:f>'Customer Service'!M16</x:f>
        <x:v>0</x:v>
      </x:c>
      <x:c r="Q133" s="7" t="n">
        <x:f>'Customer Service'!N16</x:f>
        <x:v>0</x:v>
      </x:c>
      <x:c r="R133" s="7" t="n">
        <x:f>'Customer Service'!O16</x:f>
        <x:v>0</x:v>
      </x:c>
      <x:c r="S133" s="7" t="n">
        <x:f>'Customer Service'!P16</x:f>
        <x:v>0</x:v>
      </x:c>
      <x:c r="T133" s="7" t="n">
        <x:f>'Customer Service'!Q16</x:f>
        <x:v>0</x:v>
      </x:c>
      <x:c r="U133" s="7" t="n">
        <x:f>'Customer Service'!R16</x:f>
        <x:v>0</x:v>
      </x:c>
      <x:c r="V133" s="7" t="str">
        <x:f>'Customer Service'!S16</x:f>
      </x:c>
      <x:c r="W133" s="7" t="str">
        <x:v>R11</x:v>
      </x:c>
      <x:c r="X133" s="7" t="n">
        <x:f>'Customer Service'!$B$5</x:f>
        <x:v>0</x:v>
      </x:c>
      <x:c r="Y133" s="48" t="n">
        <x:f>'Customer Service'!V16</x:f>
        <x:v>0</x:v>
      </x:c>
      <x:c r="Z133" s="7" t="n">
        <x:f>'Customer Service'!U16</x:f>
        <x:v>0</x:v>
      </x:c>
    </x:row>
    <x:row r="134">
      <x:c r="A134" s="7" t="str">
        <x:v>UX-133</x:v>
      </x:c>
      <x:c r="B134" s="7" t="str">
        <x:v>Customer Service</x:v>
      </x:c>
      <x:c r="C134" s="7" t="str">
        <x:v>Inbox</x:v>
      </x:c>
      <x:c r="D134" s="7" t="str">
        <x:v>Unread State</x:v>
      </x:c>
      <x:c r="E134" s="7" t="str">
        <x:v>Distinguish new/unread from already seen conversations</x:v>
      </x:c>
      <x:c r="F134" s="7" t="str">
        <x:v>Unread state should be visually obvious and persist per agent.</x:v>
      </x:c>
      <x:c r="G134" s="7" t="str">
        <x:v>Visibility of status</x:v>
      </x:c>
      <x:c r="H134" s="7" t="str">
        <x:v>No explicit unread/read indicator is evident in conversation list.</x:v>
      </x:c>
      <x:c r="I134" s="7" t="str">
        <x:v>Gap</x:v>
      </x:c>
      <x:c r="J134" s="7" t="str">
        <x:v>Add unread count/bold state and mark-as-read behavior.</x:v>
      </x:c>
      <x:c r="K134" s="7" t="str">
        <x:v>Task-based usability</x:v>
      </x:c>
      <x:c r="L134" s="7" t="str">
        <x:v>P0</x:v>
      </x:c>
      <x:c r="M134" s="7" t="str">
        <x:v>Complete without facilitator; SEQ ≥5/7</x:v>
      </x:c>
      <x:c r="N134" s="7" t="str">
        <x:f>'Customer Service'!K17</x:f>
        <x:v>Not Tested</x:v>
      </x:c>
      <x:c r="O134" s="7" t="n">
        <x:f>'Customer Service'!L17</x:f>
        <x:v>0</x:v>
      </x:c>
      <x:c r="P134" s="7" t="n">
        <x:f>'Customer Service'!M17</x:f>
        <x:v>0</x:v>
      </x:c>
      <x:c r="Q134" s="7" t="n">
        <x:f>'Customer Service'!N17</x:f>
        <x:v>0</x:v>
      </x:c>
      <x:c r="R134" s="7" t="n">
        <x:f>'Customer Service'!O17</x:f>
        <x:v>0</x:v>
      </x:c>
      <x:c r="S134" s="7" t="n">
        <x:f>'Customer Service'!P17</x:f>
        <x:v>0</x:v>
      </x:c>
      <x:c r="T134" s="7" t="n">
        <x:f>'Customer Service'!Q17</x:f>
        <x:v>0</x:v>
      </x:c>
      <x:c r="U134" s="7" t="n">
        <x:f>'Customer Service'!R17</x:f>
        <x:v>0</x:v>
      </x:c>
      <x:c r="V134" s="7" t="str">
        <x:f>'Customer Service'!S17</x:f>
      </x:c>
      <x:c r="W134" s="7" t="str">
        <x:v>R01</x:v>
      </x:c>
      <x:c r="X134" s="7" t="n">
        <x:f>'Customer Service'!$B$5</x:f>
        <x:v>0</x:v>
      </x:c>
      <x:c r="Y134" s="48" t="n">
        <x:f>'Customer Service'!V17</x:f>
        <x:v>0</x:v>
      </x:c>
      <x:c r="Z134" s="7" t="n">
        <x:f>'Customer Service'!U17</x:f>
        <x:v>0</x:v>
      </x:c>
    </x:row>
    <x:row r="135">
      <x:c r="A135" s="7" t="str">
        <x:v>UX-134</x:v>
      </x:c>
      <x:c r="B135" s="7" t="str">
        <x:v>Customer Service</x:v>
      </x:c>
      <x:c r="C135" s="7" t="str">
        <x:v>Inbox</x:v>
      </x:c>
      <x:c r="D135" s="7" t="str">
        <x:v>Assignment</x:v>
      </x:c>
      <x:c r="E135" s="7" t="str">
        <x:v>Know who owns the conversation</x:v>
      </x:c>
      <x:c r="F135" s="7" t="str">
        <x:v>Assignee should be visible; auto-assignment should be predictable and overridable by authorized users.</x:v>
      </x:c>
      <x:c r="G135" s="7" t="str">
        <x:v>Ownership visibility</x:v>
      </x:c>
      <x:c r="H135" s="7" t="str">
        <x:v>Backend assigns CS using workload; current list/profile does not prominently display assignee.</x:v>
      </x:c>
      <x:c r="I135" s="7" t="str">
        <x:v>Partial</x:v>
      </x:c>
      <x:c r="J135" s="7" t="str">
        <x:v>Show assignee in header/profile and support reassignment/transfer with history.</x:v>
      </x:c>
      <x:c r="K135" s="7" t="str">
        <x:v>Task-based usability</x:v>
      </x:c>
      <x:c r="L135" s="7" t="str">
        <x:v>P1</x:v>
      </x:c>
      <x:c r="M135" s="7" t="str">
        <x:v>Complete without facilitator; SEQ ≥5/7</x:v>
      </x:c>
      <x:c r="N135" s="7" t="str">
        <x:f>'Customer Service'!K18</x:f>
        <x:v>Not Tested</x:v>
      </x:c>
      <x:c r="O135" s="7" t="n">
        <x:f>'Customer Service'!L18</x:f>
        <x:v>0</x:v>
      </x:c>
      <x:c r="P135" s="7" t="n">
        <x:f>'Customer Service'!M18</x:f>
        <x:v>0</x:v>
      </x:c>
      <x:c r="Q135" s="7" t="n">
        <x:f>'Customer Service'!N18</x:f>
        <x:v>0</x:v>
      </x:c>
      <x:c r="R135" s="7" t="n">
        <x:f>'Customer Service'!O18</x:f>
        <x:v>0</x:v>
      </x:c>
      <x:c r="S135" s="7" t="n">
        <x:f>'Customer Service'!P18</x:f>
        <x:v>0</x:v>
      </x:c>
      <x:c r="T135" s="7" t="n">
        <x:f>'Customer Service'!Q18</x:f>
        <x:v>0</x:v>
      </x:c>
      <x:c r="U135" s="7" t="n">
        <x:f>'Customer Service'!R18</x:f>
        <x:v>0</x:v>
      </x:c>
      <x:c r="V135" s="7" t="str">
        <x:f>'Customer Service'!S18</x:f>
      </x:c>
      <x:c r="W135" s="7" t="str">
        <x:v>R10,R12</x:v>
      </x:c>
      <x:c r="X135" s="7" t="n">
        <x:f>'Customer Service'!$B$5</x:f>
        <x:v>0</x:v>
      </x:c>
      <x:c r="Y135" s="48" t="n">
        <x:f>'Customer Service'!V18</x:f>
        <x:v>0</x:v>
      </x:c>
      <x:c r="Z135" s="7" t="n">
        <x:f>'Customer Service'!U18</x:f>
        <x:v>0</x:v>
      </x:c>
    </x:row>
    <x:row r="136">
      <x:c r="A136" s="7" t="str">
        <x:v>UX-135</x:v>
      </x:c>
      <x:c r="B136" s="7" t="str">
        <x:v>Customer Service</x:v>
      </x:c>
      <x:c r="C136" s="7" t="str">
        <x:v>Inbox</x:v>
      </x:c>
      <x:c r="D136" s="7" t="str">
        <x:v>Status</x:v>
      </x:c>
      <x:c r="E136" s="7" t="str">
        <x:v>Change Open/Pending/Resolved from conversation</x:v>
      </x:c>
      <x:c r="F136" s="7" t="str">
        <x:v>Agent must be able to resolve/reopen/snooze/wait without leaving context.</x:v>
      </x:c>
      <x:c r="G136" s="7" t="str">
        <x:v>User control; workflow visibility</x:v>
      </x:c>
      <x:c r="H136" s="7" t="str">
        <x:v>Backend PATCH status exists, but current CS Inbox UI only displays status and exposes no status control.</x:v>
      </x:c>
      <x:c r="I136" s="7" t="str">
        <x:v>Gap</x:v>
      </x:c>
      <x:c r="J136" s="7" t="str">
        <x:v>Add status dropdown/actions in conversation header; include Resolved, Pending/Waiting, Reopen.</x:v>
      </x:c>
      <x:c r="K136" s="7" t="str">
        <x:v>Task-based usability</x:v>
      </x:c>
      <x:c r="L136" s="7" t="str">
        <x:v>P0</x:v>
      </x:c>
      <x:c r="M136" s="7" t="str">
        <x:v>Complete without facilitator; SEQ ≥5/7</x:v>
      </x:c>
      <x:c r="N136" s="7" t="str">
        <x:f>'Customer Service'!K19</x:f>
        <x:v>Not Tested</x:v>
      </x:c>
      <x:c r="O136" s="7" t="n">
        <x:f>'Customer Service'!L19</x:f>
        <x:v>0</x:v>
      </x:c>
      <x:c r="P136" s="7" t="n">
        <x:f>'Customer Service'!M19</x:f>
        <x:v>0</x:v>
      </x:c>
      <x:c r="Q136" s="7" t="n">
        <x:f>'Customer Service'!N19</x:f>
        <x:v>0</x:v>
      </x:c>
      <x:c r="R136" s="7" t="n">
        <x:f>'Customer Service'!O19</x:f>
        <x:v>0</x:v>
      </x:c>
      <x:c r="S136" s="7" t="n">
        <x:f>'Customer Service'!P19</x:f>
        <x:v>0</x:v>
      </x:c>
      <x:c r="T136" s="7" t="n">
        <x:f>'Customer Service'!Q19</x:f>
        <x:v>0</x:v>
      </x:c>
      <x:c r="U136" s="7" t="n">
        <x:f>'Customer Service'!R19</x:f>
        <x:v>0</x:v>
      </x:c>
      <x:c r="V136" s="7" t="str">
        <x:f>'Customer Service'!S19</x:f>
      </x:c>
      <x:c r="W136" s="7" t="str">
        <x:v>R01,R09</x:v>
      </x:c>
      <x:c r="X136" s="7" t="n">
        <x:f>'Customer Service'!$B$5</x:f>
        <x:v>0</x:v>
      </x:c>
      <x:c r="Y136" s="48" t="n">
        <x:f>'Customer Service'!V19</x:f>
        <x:v>0</x:v>
      </x:c>
      <x:c r="Z136" s="7" t="n">
        <x:f>'Customer Service'!U19</x:f>
        <x:v>0</x:v>
      </x:c>
    </x:row>
    <x:row r="137">
      <x:c r="A137" s="7" t="str">
        <x:v>UX-136</x:v>
      </x:c>
      <x:c r="B137" s="7" t="str">
        <x:v>Customer Service</x:v>
      </x:c>
      <x:c r="C137" s="7" t="str">
        <x:v>Inbox</x:v>
      </x:c>
      <x:c r="D137" s="7" t="str">
        <x:v>Reply</x:v>
      </x:c>
      <x:c r="E137" s="7" t="str">
        <x:v>Send a reply and see it immediately</x:v>
      </x:c>
      <x:c r="F137" s="7" t="str">
        <x:v>Reply should appear immediately with sending/sent/failed state, preserving draft on failure.</x:v>
      </x:c>
      <x:c r="G137" s="7" t="str">
        <x:v>Visibility; error recovery</x:v>
      </x:c>
      <x:c r="H137" s="7" t="str">
        <x:v>Reply composer posts and refreshes conversation list.</x:v>
      </x:c>
      <x:c r="I137" s="7" t="str">
        <x:v>Partial</x:v>
      </x:c>
      <x:c r="J137" s="7" t="str">
        <x:v>Use optimistic message state + failure retry; preserve text if API fails.</x:v>
      </x:c>
      <x:c r="K137" s="7" t="str">
        <x:v>Task-based usability</x:v>
      </x:c>
      <x:c r="L137" s="7" t="str">
        <x:v>P0</x:v>
      </x:c>
      <x:c r="M137" s="7" t="str">
        <x:v>Complete without facilitator; SEQ ≥5/7</x:v>
      </x:c>
      <x:c r="N137" s="7" t="str">
        <x:f>'Customer Service'!K20</x:f>
        <x:v>Not Tested</x:v>
      </x:c>
      <x:c r="O137" s="7" t="n">
        <x:f>'Customer Service'!L20</x:f>
        <x:v>0</x:v>
      </x:c>
      <x:c r="P137" s="7" t="n">
        <x:f>'Customer Service'!M20</x:f>
        <x:v>0</x:v>
      </x:c>
      <x:c r="Q137" s="7" t="n">
        <x:f>'Customer Service'!N20</x:f>
        <x:v>0</x:v>
      </x:c>
      <x:c r="R137" s="7" t="n">
        <x:f>'Customer Service'!O20</x:f>
        <x:v>0</x:v>
      </x:c>
      <x:c r="S137" s="7" t="n">
        <x:f>'Customer Service'!P20</x:f>
        <x:v>0</x:v>
      </x:c>
      <x:c r="T137" s="7" t="n">
        <x:f>'Customer Service'!Q20</x:f>
        <x:v>0</x:v>
      </x:c>
      <x:c r="U137" s="7" t="n">
        <x:f>'Customer Service'!R20</x:f>
        <x:v>0</x:v>
      </x:c>
      <x:c r="V137" s="7" t="str">
        <x:f>'Customer Service'!S20</x:f>
      </x:c>
      <x:c r="W137" s="7" t="str">
        <x:v>R01</x:v>
      </x:c>
      <x:c r="X137" s="7" t="n">
        <x:f>'Customer Service'!$B$5</x:f>
        <x:v>0</x:v>
      </x:c>
      <x:c r="Y137" s="48" t="n">
        <x:f>'Customer Service'!V20</x:f>
        <x:v>0</x:v>
      </x:c>
      <x:c r="Z137" s="7" t="n">
        <x:f>'Customer Service'!U20</x:f>
        <x:v>0</x:v>
      </x:c>
    </x:row>
    <x:row r="138">
      <x:c r="A138" s="7" t="str">
        <x:v>UX-137</x:v>
      </x:c>
      <x:c r="B138" s="7" t="str">
        <x:v>Customer Service</x:v>
      </x:c>
      <x:c r="C138" s="7" t="str">
        <x:v>Inbox</x:v>
      </x:c>
      <x:c r="D138" s="7" t="str">
        <x:v>Customer Context</x:v>
      </x:c>
      <x:c r="E138" s="7" t="str">
        <x:v>Understand who the customer is</x:v>
      </x:c>
      <x:c r="F138" s="7" t="str">
        <x:v>Agent should see name, email, phone, channel and contact preferences without searching elsewhere.</x:v>
      </x:c>
      <x:c r="G138" s="7" t="str">
        <x:v>Recognition</x:v>
      </x:c>
      <x:c r="H138" s="7" t="str">
        <x:v>Profile shows name/email/phone/channel/status/created.</x:v>
      </x:c>
      <x:c r="I138" s="7" t="str">
        <x:v>Meets</x:v>
      </x:c>
      <x:c r="J138" s="7" t="str">
        <x:v>Add copy buttons and verified/consent/contact preference where applicable.</x:v>
      </x:c>
      <x:c r="K138" s="7" t="str">
        <x:v>Task-based usability</x:v>
      </x:c>
      <x:c r="L138" s="7" t="str">
        <x:v>P1</x:v>
      </x:c>
      <x:c r="M138" s="7" t="str">
        <x:v>Complete without facilitator; SEQ ≥5/7</x:v>
      </x:c>
      <x:c r="N138" s="7" t="str">
        <x:f>'Customer Service'!K21</x:f>
        <x:v>Not Tested</x:v>
      </x:c>
      <x:c r="O138" s="7" t="n">
        <x:f>'Customer Service'!L21</x:f>
        <x:v>0</x:v>
      </x:c>
      <x:c r="P138" s="7" t="n">
        <x:f>'Customer Service'!M21</x:f>
        <x:v>0</x:v>
      </x:c>
      <x:c r="Q138" s="7" t="n">
        <x:f>'Customer Service'!N21</x:f>
        <x:v>0</x:v>
      </x:c>
      <x:c r="R138" s="7" t="n">
        <x:f>'Customer Service'!O21</x:f>
        <x:v>0</x:v>
      </x:c>
      <x:c r="S138" s="7" t="n">
        <x:f>'Customer Service'!P21</x:f>
        <x:v>0</x:v>
      </x:c>
      <x:c r="T138" s="7" t="n">
        <x:f>'Customer Service'!Q21</x:f>
        <x:v>0</x:v>
      </x:c>
      <x:c r="U138" s="7" t="n">
        <x:f>'Customer Service'!R21</x:f>
        <x:v>0</x:v>
      </x:c>
      <x:c r="V138" s="7" t="str">
        <x:f>'Customer Service'!S21</x:f>
      </x:c>
      <x:c r="W138" s="7" t="str">
        <x:v>R01</x:v>
      </x:c>
      <x:c r="X138" s="7" t="n">
        <x:f>'Customer Service'!$B$5</x:f>
        <x:v>0</x:v>
      </x:c>
      <x:c r="Y138" s="48" t="n">
        <x:f>'Customer Service'!V21</x:f>
        <x:v>0</x:v>
      </x:c>
      <x:c r="Z138" s="7" t="n">
        <x:f>'Customer Service'!U21</x:f>
        <x:v>0</x:v>
      </x:c>
    </x:row>
    <x:row r="139">
      <x:c r="A139" s="7" t="str">
        <x:v>UX-138</x:v>
      </x:c>
      <x:c r="B139" s="7" t="str">
        <x:v>Customer Service</x:v>
      </x:c>
      <x:c r="C139" s="7" t="str">
        <x:v>Inbox</x:v>
      </x:c>
      <x:c r="D139" s="7" t="str">
        <x:v>Order Context</x:v>
      </x:c>
      <x:c r="E139" s="7" t="str">
        <x:v>Understand purchase/project without switching modules</x:v>
      </x:c>
      <x:c r="F139" s="7" t="str">
        <x:v>Support context should include order number, template, amount/payment status, assigned Designer and current tasks.</x:v>
      </x:c>
      <x:c r="G139" s="7" t="str">
        <x:v>Contextual efficiency</x:v>
      </x:c>
      <x:c r="H139" s="7" t="str">
        <x:v>Profile only exposes raw order_id plus basic conversation fields.</x:v>
      </x:c>
      <x:c r="I139" s="7" t="str">
        <x:v>Gap</x:v>
      </x:c>
      <x:c r="J139" s="7" t="str">
        <x:v>Embed order/template/payment/assigned Designer/task summary with deep links.</x:v>
      </x:c>
      <x:c r="K139" s="7" t="str">
        <x:v>Task-based usability</x:v>
      </x:c>
      <x:c r="L139" s="7" t="str">
        <x:v>P0</x:v>
      </x:c>
      <x:c r="M139" s="7" t="str">
        <x:v>Complete without facilitator; SEQ ≥5/7</x:v>
      </x:c>
      <x:c r="N139" s="7" t="str">
        <x:f>'Customer Service'!K22</x:f>
        <x:v>Not Tested</x:v>
      </x:c>
      <x:c r="O139" s="7" t="n">
        <x:f>'Customer Service'!L22</x:f>
        <x:v>0</x:v>
      </x:c>
      <x:c r="P139" s="7" t="n">
        <x:f>'Customer Service'!M22</x:f>
        <x:v>0</x:v>
      </x:c>
      <x:c r="Q139" s="7" t="n">
        <x:f>'Customer Service'!N22</x:f>
        <x:v>0</x:v>
      </x:c>
      <x:c r="R139" s="7" t="n">
        <x:f>'Customer Service'!O22</x:f>
        <x:v>0</x:v>
      </x:c>
      <x:c r="S139" s="7" t="n">
        <x:f>'Customer Service'!P22</x:f>
        <x:v>0</x:v>
      </x:c>
      <x:c r="T139" s="7" t="n">
        <x:f>'Customer Service'!Q22</x:f>
        <x:v>0</x:v>
      </x:c>
      <x:c r="U139" s="7" t="n">
        <x:f>'Customer Service'!R22</x:f>
        <x:v>0</x:v>
      </x:c>
      <x:c r="V139" s="7" t="str">
        <x:f>'Customer Service'!S22</x:f>
      </x:c>
      <x:c r="W139" s="7" t="str">
        <x:v>R01,R12</x:v>
      </x:c>
      <x:c r="X139" s="7" t="n">
        <x:f>'Customer Service'!$B$5</x:f>
        <x:v>0</x:v>
      </x:c>
      <x:c r="Y139" s="48" t="n">
        <x:f>'Customer Service'!V22</x:f>
        <x:v>0</x:v>
      </x:c>
      <x:c r="Z139" s="7" t="n">
        <x:f>'Customer Service'!U22</x:f>
        <x:v>0</x:v>
      </x:c>
    </x:row>
    <x:row r="140">
      <x:c r="A140" s="7" t="str">
        <x:v>UX-139</x:v>
      </x:c>
      <x:c r="B140" s="7" t="str">
        <x:v>Customer Service</x:v>
      </x:c>
      <x:c r="C140" s="7" t="str">
        <x:v>Inbox</x:v>
      </x:c>
      <x:c r="D140" s="7" t="str">
        <x:v>Conversation Events</x:v>
      </x:c>
      <x:c r="E140" s="7" t="str">
        <x:v>Know assignment/status/history changes</x:v>
      </x:c>
      <x:c r="F140" s="7" t="str">
        <x:v>A timeline should include status changes, assignment, tags and key workflow events.</x:v>
      </x:c>
      <x:c r="G140" s="7" t="str">
        <x:v>Context/history</x:v>
      </x:c>
      <x:c r="H140" s="7" t="str">
        <x:v>Only message bodies/timestamps are rendered.</x:v>
      </x:c>
      <x:c r="I140" s="7" t="str">
        <x:v>Gap</x:v>
      </x:c>
      <x:c r="J140" s="7" t="str">
        <x:v>Add conversation event timeline/audit events.</x:v>
      </x:c>
      <x:c r="K140" s="7" t="str">
        <x:v>Task-based usability</x:v>
      </x:c>
      <x:c r="L140" s="7" t="str">
        <x:v>P1</x:v>
      </x:c>
      <x:c r="M140" s="7" t="str">
        <x:v>Complete without facilitator; SEQ ≥5/7</x:v>
      </x:c>
      <x:c r="N140" s="7" t="str">
        <x:f>'Customer Service'!K23</x:f>
        <x:v>Not Tested</x:v>
      </x:c>
      <x:c r="O140" s="7" t="n">
        <x:f>'Customer Service'!L23</x:f>
        <x:v>0</x:v>
      </x:c>
      <x:c r="P140" s="7" t="n">
        <x:f>'Customer Service'!M23</x:f>
        <x:v>0</x:v>
      </x:c>
      <x:c r="Q140" s="7" t="n">
        <x:f>'Customer Service'!N23</x:f>
        <x:v>0</x:v>
      </x:c>
      <x:c r="R140" s="7" t="n">
        <x:f>'Customer Service'!O23</x:f>
        <x:v>0</x:v>
      </x:c>
      <x:c r="S140" s="7" t="n">
        <x:f>'Customer Service'!P23</x:f>
        <x:v>0</x:v>
      </x:c>
      <x:c r="T140" s="7" t="n">
        <x:f>'Customer Service'!Q23</x:f>
        <x:v>0</x:v>
      </x:c>
      <x:c r="U140" s="7" t="n">
        <x:f>'Customer Service'!R23</x:f>
        <x:v>0</x:v>
      </x:c>
      <x:c r="V140" s="7" t="str">
        <x:f>'Customer Service'!S23</x:f>
      </x:c>
      <x:c r="W140" s="7" t="str">
        <x:v>R12</x:v>
      </x:c>
      <x:c r="X140" s="7" t="n">
        <x:f>'Customer Service'!$B$5</x:f>
        <x:v>0</x:v>
      </x:c>
      <x:c r="Y140" s="48" t="n">
        <x:f>'Customer Service'!V23</x:f>
        <x:v>0</x:v>
      </x:c>
      <x:c r="Z140" s="7" t="n">
        <x:f>'Customer Service'!U23</x:f>
        <x:v>0</x:v>
      </x:c>
    </x:row>
    <x:row r="141">
      <x:c r="A141" s="7" t="str">
        <x:v>UX-140</x:v>
      </x:c>
      <x:c r="B141" s="7" t="str">
        <x:v>Customer Service</x:v>
      </x:c>
      <x:c r="C141" s="7" t="str">
        <x:v>Inbox</x:v>
      </x:c>
      <x:c r="D141" s="7" t="str">
        <x:v>Internal Notes</x:v>
      </x:c>
      <x:c r="E141" s="7" t="str">
        <x:v>Collaborate without sending note to customer</x:v>
      </x:c>
      <x:c r="F141" s="7" t="str">
        <x:v>Agents need internal notes for handoff/escalation.</x:v>
      </x:c>
      <x:c r="G141" s="7" t="str">
        <x:v>Team collaboration</x:v>
      </x:c>
      <x:c r="H141" s="7" t="str">
        <x:v>No internal-note mode is evident.</x:v>
      </x:c>
      <x:c r="I141" s="7" t="str">
        <x:v>Gap</x:v>
      </x:c>
      <x:c r="J141" s="7" t="str">
        <x:v>Add internal note with distinct visual treatment and author/timestamp.</x:v>
      </x:c>
      <x:c r="K141" s="7" t="str">
        <x:v>Task-based usability</x:v>
      </x:c>
      <x:c r="L141" s="7" t="str">
        <x:v>P1</x:v>
      </x:c>
      <x:c r="M141" s="7" t="str">
        <x:v>Complete without facilitator; SEQ ≥5/7</x:v>
      </x:c>
      <x:c r="N141" s="7" t="str">
        <x:f>'Customer Service'!K24</x:f>
        <x:v>Not Tested</x:v>
      </x:c>
      <x:c r="O141" s="7" t="n">
        <x:f>'Customer Service'!L24</x:f>
        <x:v>0</x:v>
      </x:c>
      <x:c r="P141" s="7" t="n">
        <x:f>'Customer Service'!M24</x:f>
        <x:v>0</x:v>
      </x:c>
      <x:c r="Q141" s="7" t="n">
        <x:f>'Customer Service'!N24</x:f>
        <x:v>0</x:v>
      </x:c>
      <x:c r="R141" s="7" t="n">
        <x:f>'Customer Service'!O24</x:f>
        <x:v>0</x:v>
      </x:c>
      <x:c r="S141" s="7" t="n">
        <x:f>'Customer Service'!P24</x:f>
        <x:v>0</x:v>
      </x:c>
      <x:c r="T141" s="7" t="n">
        <x:f>'Customer Service'!Q24</x:f>
        <x:v>0</x:v>
      </x:c>
      <x:c r="U141" s="7" t="n">
        <x:f>'Customer Service'!R24</x:f>
        <x:v>0</x:v>
      </x:c>
      <x:c r="V141" s="7" t="str">
        <x:f>'Customer Service'!S24</x:f>
      </x:c>
      <x:c r="W141" s="7" t="str">
        <x:v>R12</x:v>
      </x:c>
      <x:c r="X141" s="7" t="n">
        <x:f>'Customer Service'!$B$5</x:f>
        <x:v>0</x:v>
      </x:c>
      <x:c r="Y141" s="48" t="n">
        <x:f>'Customer Service'!V24</x:f>
        <x:v>0</x:v>
      </x:c>
      <x:c r="Z141" s="7" t="n">
        <x:f>'Customer Service'!U24</x:f>
        <x:v>0</x:v>
      </x:c>
    </x:row>
    <x:row r="142">
      <x:c r="A142" s="7" t="str">
        <x:v>UX-141</x:v>
      </x:c>
      <x:c r="B142" s="7" t="str">
        <x:v>Customer Service</x:v>
      </x:c>
      <x:c r="C142" s="7" t="str">
        <x:v>Inbox</x:v>
      </x:c>
      <x:c r="D142" s="7" t="str">
        <x:v>Tags</x:v>
      </x:c>
      <x:c r="E142" s="7" t="str">
        <x:v>Categorize conversations</x:v>
      </x:c>
      <x:c r="F142" s="7" t="str">
        <x:v>Tags/categories improve filtering, routing and reporting.</x:v>
      </x:c>
      <x:c r="G142" s="7" t="str">
        <x:v>Queue organization</x:v>
      </x:c>
      <x:c r="H142" s="7" t="str">
        <x:v>No tag UI is evident.</x:v>
      </x:c>
      <x:c r="I142" s="7" t="str">
        <x:v>Gap</x:v>
      </x:c>
      <x:c r="J142" s="7" t="str">
        <x:v>Add tags with admin-managed taxonomy and filter support.</x:v>
      </x:c>
      <x:c r="K142" s="7" t="str">
        <x:v>Task-based usability</x:v>
      </x:c>
      <x:c r="L142" s="7" t="str">
        <x:v>P1</x:v>
      </x:c>
      <x:c r="M142" s="7" t="str">
        <x:v>Complete without facilitator; SEQ ≥5/7</x:v>
      </x:c>
      <x:c r="N142" s="7" t="str">
        <x:f>'Customer Service'!K25</x:f>
        <x:v>Not Tested</x:v>
      </x:c>
      <x:c r="O142" s="7" t="n">
        <x:f>'Customer Service'!L25</x:f>
        <x:v>0</x:v>
      </x:c>
      <x:c r="P142" s="7" t="n">
        <x:f>'Customer Service'!M25</x:f>
        <x:v>0</x:v>
      </x:c>
      <x:c r="Q142" s="7" t="n">
        <x:f>'Customer Service'!N25</x:f>
        <x:v>0</x:v>
      </x:c>
      <x:c r="R142" s="7" t="n">
        <x:f>'Customer Service'!O25</x:f>
        <x:v>0</x:v>
      </x:c>
      <x:c r="S142" s="7" t="n">
        <x:f>'Customer Service'!P25</x:f>
        <x:v>0</x:v>
      </x:c>
      <x:c r="T142" s="7" t="n">
        <x:f>'Customer Service'!Q25</x:f>
        <x:v>0</x:v>
      </x:c>
      <x:c r="U142" s="7" t="n">
        <x:f>'Customer Service'!R25</x:f>
        <x:v>0</x:v>
      </x:c>
      <x:c r="V142" s="7" t="str">
        <x:f>'Customer Service'!S25</x:f>
      </x:c>
      <x:c r="W142" s="7" t="str">
        <x:v>R09,R12</x:v>
      </x:c>
      <x:c r="X142" s="7" t="n">
        <x:f>'Customer Service'!$B$5</x:f>
        <x:v>0</x:v>
      </x:c>
      <x:c r="Y142" s="48" t="n">
        <x:f>'Customer Service'!V25</x:f>
        <x:v>0</x:v>
      </x:c>
      <x:c r="Z142" s="7" t="n">
        <x:f>'Customer Service'!U25</x:f>
        <x:v>0</x:v>
      </x:c>
    </x:row>
    <x:row r="143">
      <x:c r="A143" s="7" t="str">
        <x:v>UX-142</x:v>
      </x:c>
      <x:c r="B143" s="7" t="str">
        <x:v>Customer Service</x:v>
      </x:c>
      <x:c r="C143" s="7" t="str">
        <x:v>Inbox</x:v>
      </x:c>
      <x:c r="D143" s="7" t="str">
        <x:v>Canned Replies</x:v>
      </x:c>
      <x:c r="E143" s="7" t="str">
        <x:v>Answer repetitive questions efficiently</x:v>
      </x:c>
      <x:c r="F143" s="7" t="str">
        <x:v>Common replies should be available as macros/templates while remaining editable before send.</x:v>
      </x:c>
      <x:c r="G143" s="7" t="str">
        <x:v>Efficiency</x:v>
      </x:c>
      <x:c r="H143" s="7" t="str">
        <x:v>No macro/canned reply UI is evident.</x:v>
      </x:c>
      <x:c r="I143" s="7" t="str">
        <x:v>Gap</x:v>
      </x:c>
      <x:c r="J143" s="7" t="str">
        <x:v>Add saved replies for onboarding, payment confirmation, content requests and follow-up.</x:v>
      </x:c>
      <x:c r="K143" s="7" t="str">
        <x:v>Task-based usability</x:v>
      </x:c>
      <x:c r="L143" s="7" t="str">
        <x:v>P1</x:v>
      </x:c>
      <x:c r="M143" s="7" t="str">
        <x:v>Complete without facilitator; SEQ ≥5/7</x:v>
      </x:c>
      <x:c r="N143" s="7" t="str">
        <x:f>'Customer Service'!K26</x:f>
        <x:v>Not Tested</x:v>
      </x:c>
      <x:c r="O143" s="7" t="n">
        <x:f>'Customer Service'!L26</x:f>
        <x:v>0</x:v>
      </x:c>
      <x:c r="P143" s="7" t="n">
        <x:f>'Customer Service'!M26</x:f>
        <x:v>0</x:v>
      </x:c>
      <x:c r="Q143" s="7" t="n">
        <x:f>'Customer Service'!N26</x:f>
        <x:v>0</x:v>
      </x:c>
      <x:c r="R143" s="7" t="n">
        <x:f>'Customer Service'!O26</x:f>
        <x:v>0</x:v>
      </x:c>
      <x:c r="S143" s="7" t="n">
        <x:f>'Customer Service'!P26</x:f>
        <x:v>0</x:v>
      </x:c>
      <x:c r="T143" s="7" t="n">
        <x:f>'Customer Service'!Q26</x:f>
        <x:v>0</x:v>
      </x:c>
      <x:c r="U143" s="7" t="n">
        <x:f>'Customer Service'!R26</x:f>
        <x:v>0</x:v>
      </x:c>
      <x:c r="V143" s="7" t="str">
        <x:f>'Customer Service'!S26</x:f>
      </x:c>
      <x:c r="W143" s="7" t="str">
        <x:v>R01</x:v>
      </x:c>
      <x:c r="X143" s="7" t="n">
        <x:f>'Customer Service'!$B$5</x:f>
        <x:v>0</x:v>
      </x:c>
      <x:c r="Y143" s="48" t="n">
        <x:f>'Customer Service'!V26</x:f>
        <x:v>0</x:v>
      </x:c>
      <x:c r="Z143" s="7" t="n">
        <x:f>'Customer Service'!U26</x:f>
        <x:v>0</x:v>
      </x:c>
    </x:row>
    <x:row r="144">
      <x:c r="A144" s="7" t="str">
        <x:v>UX-143</x:v>
      </x:c>
      <x:c r="B144" s="7" t="str">
        <x:v>Customer Service</x:v>
      </x:c>
      <x:c r="C144" s="7" t="str">
        <x:v>Inbox</x:v>
      </x:c>
      <x:c r="D144" s="7" t="str">
        <x:v>Snooze / Waiting</x:v>
      </x:c>
      <x:c r="E144" s="7" t="str">
        <x:v>Temporarily remove conversations awaiting customer action</x:v>
      </x:c>
      <x:c r="F144" s="7" t="str">
        <x:v>Agents should be able to snooze/wait and return the conversation at the right time.</x:v>
      </x:c>
      <x:c r="G144" s="7" t="str">
        <x:v>Queue management</x:v>
      </x:c>
      <x:c r="H144" s="7" t="str">
        <x:v>Task status has Waiting Customer, but conversation workflow has no snooze UI.</x:v>
      </x:c>
      <x:c r="I144" s="7" t="str">
        <x:v>Gap</x:v>
      </x:c>
      <x:c r="J144" s="7" t="str">
        <x:v>Add Waiting Customer/Snooze with due time and automatic resurfacing.</x:v>
      </x:c>
      <x:c r="K144" s="7" t="str">
        <x:v>Task-based usability</x:v>
      </x:c>
      <x:c r="L144" s="7" t="str">
        <x:v>P1</x:v>
      </x:c>
      <x:c r="M144" s="7" t="str">
        <x:v>Complete without facilitator; SEQ ≥5/7</x:v>
      </x:c>
      <x:c r="N144" s="7" t="str">
        <x:f>'Customer Service'!K27</x:f>
        <x:v>Not Tested</x:v>
      </x:c>
      <x:c r="O144" s="7" t="n">
        <x:f>'Customer Service'!L27</x:f>
        <x:v>0</x:v>
      </x:c>
      <x:c r="P144" s="7" t="n">
        <x:f>'Customer Service'!M27</x:f>
        <x:v>0</x:v>
      </x:c>
      <x:c r="Q144" s="7" t="n">
        <x:f>'Customer Service'!N27</x:f>
        <x:v>0</x:v>
      </x:c>
      <x:c r="R144" s="7" t="n">
        <x:f>'Customer Service'!O27</x:f>
        <x:v>0</x:v>
      </x:c>
      <x:c r="S144" s="7" t="n">
        <x:f>'Customer Service'!P27</x:f>
        <x:v>0</x:v>
      </x:c>
      <x:c r="T144" s="7" t="n">
        <x:f>'Customer Service'!Q27</x:f>
        <x:v>0</x:v>
      </x:c>
      <x:c r="U144" s="7" t="n">
        <x:f>'Customer Service'!R27</x:f>
        <x:v>0</x:v>
      </x:c>
      <x:c r="V144" s="7" t="str">
        <x:f>'Customer Service'!S27</x:f>
      </x:c>
      <x:c r="W144" s="7" t="str">
        <x:v>R09</x:v>
      </x:c>
      <x:c r="X144" s="7" t="n">
        <x:f>'Customer Service'!$B$5</x:f>
        <x:v>0</x:v>
      </x:c>
      <x:c r="Y144" s="48" t="n">
        <x:f>'Customer Service'!V27</x:f>
        <x:v>0</x:v>
      </x:c>
      <x:c r="Z144" s="7" t="n">
        <x:f>'Customer Service'!U27</x:f>
        <x:v>0</x:v>
      </x:c>
    </x:row>
    <x:row r="145">
      <x:c r="A145" s="7" t="str">
        <x:v>UX-144</x:v>
      </x:c>
      <x:c r="B145" s="7" t="str">
        <x:v>Customer Service</x:v>
      </x:c>
      <x:c r="C145" s="7" t="str">
        <x:v>Inbox</x:v>
      </x:c>
      <x:c r="D145" s="7" t="str">
        <x:v>Outbound</x:v>
      </x:c>
      <x:c r="E145" s="7" t="str">
        <x:v>Start a proactive message to Customer</x:v>
      </x:c>
      <x:c r="F145" s="7" t="str">
        <x:v>Outbound should select the correct customer, show project context and confirm sent state.</x:v>
      </x:c>
      <x:c r="G145" s="7" t="str">
        <x:v>Efficiency; least privilege</x:v>
      </x:c>
      <x:c r="H145" s="7" t="str">
        <x:v>Message User dialog selects user and sends Web/email-outbox message.</x:v>
      </x:c>
      <x:c r="I145" s="7" t="str">
        <x:v>Partial</x:v>
      </x:c>
      <x:c r="J145" s="7" t="str">
        <x:v>Add search in recipient selector and limit to role scope/assigned customers where appropriate.</x:v>
      </x:c>
      <x:c r="K145" s="7" t="str">
        <x:v>Task-based usability</x:v>
      </x:c>
      <x:c r="L145" s="7" t="str">
        <x:v>P1</x:v>
      </x:c>
      <x:c r="M145" s="7" t="str">
        <x:v>Complete without facilitator; SEQ ≥5/7</x:v>
      </x:c>
      <x:c r="N145" s="7" t="str">
        <x:f>'Customer Service'!K28</x:f>
        <x:v>Not Tested</x:v>
      </x:c>
      <x:c r="O145" s="7" t="n">
        <x:f>'Customer Service'!L28</x:f>
        <x:v>0</x:v>
      </x:c>
      <x:c r="P145" s="7" t="n">
        <x:f>'Customer Service'!M28</x:f>
        <x:v>0</x:v>
      </x:c>
      <x:c r="Q145" s="7" t="n">
        <x:f>'Customer Service'!N28</x:f>
        <x:v>0</x:v>
      </x:c>
      <x:c r="R145" s="7" t="n">
        <x:f>'Customer Service'!O28</x:f>
        <x:v>0</x:v>
      </x:c>
      <x:c r="S145" s="7" t="n">
        <x:f>'Customer Service'!P28</x:f>
        <x:v>0</x:v>
      </x:c>
      <x:c r="T145" s="7" t="n">
        <x:f>'Customer Service'!Q28</x:f>
        <x:v>0</x:v>
      </x:c>
      <x:c r="U145" s="7" t="n">
        <x:f>'Customer Service'!R28</x:f>
        <x:v>0</x:v>
      </x:c>
      <x:c r="V145" s="7" t="str">
        <x:f>'Customer Service'!S28</x:f>
      </x:c>
      <x:c r="W145" s="7" t="str">
        <x:v>R15,R16</x:v>
      </x:c>
      <x:c r="X145" s="7" t="n">
        <x:f>'Customer Service'!$B$5</x:f>
        <x:v>0</x:v>
      </x:c>
      <x:c r="Y145" s="48" t="n">
        <x:f>'Customer Service'!V28</x:f>
        <x:v>0</x:v>
      </x:c>
      <x:c r="Z145" s="7" t="n">
        <x:f>'Customer Service'!U28</x:f>
        <x:v>0</x:v>
      </x:c>
    </x:row>
    <x:row r="146">
      <x:c r="A146" s="7" t="str">
        <x:v>UX-145</x:v>
      </x:c>
      <x:c r="B146" s="7" t="str">
        <x:v>Customer Service</x:v>
      </x:c>
      <x:c r="C146" s="7" t="str">
        <x:v>Channels</x:v>
      </x:c>
      <x:c r="D146" s="7" t="str">
        <x:v>WhatsApp</x:v>
      </x:c>
      <x:c r="E146" s="7" t="str">
        <x:v>Contact customer via WhatsApp from captured phone</x:v>
      </x:c>
      <x:c r="F146" s="7" t="str">
        <x:v>If WhatsApp is an offered support channel, agent should have a clear action and audit the contact attempt.</x:v>
      </x:c>
      <x:c r="G146" s="7" t="str">
        <x:v>Match operational workflow</x:v>
      </x:c>
      <x:c r="H146" s="7" t="str">
        <x:v>Phone is captured, but no direct WhatsApp action/integration is evident.</x:v>
      </x:c>
      <x:c r="I146" s="7" t="str">
        <x:v>Gap</x:v>
      </x:c>
      <x:c r="J146" s="7" t="str">
        <x:v>Add WhatsApp deep-link/integration with event logging, subject to consent/policy.</x:v>
      </x:c>
      <x:c r="K146" s="7" t="str">
        <x:v>Task-based usability</x:v>
      </x:c>
      <x:c r="L146" s="7" t="str">
        <x:v>P1</x:v>
      </x:c>
      <x:c r="M146" s="7" t="str">
        <x:v>Complete without facilitator; SEQ ≥5/7</x:v>
      </x:c>
      <x:c r="N146" s="7" t="str">
        <x:f>'Customer Service'!K29</x:f>
        <x:v>Not Tested</x:v>
      </x:c>
      <x:c r="O146" s="7" t="n">
        <x:f>'Customer Service'!L29</x:f>
        <x:v>0</x:v>
      </x:c>
      <x:c r="P146" s="7" t="n">
        <x:f>'Customer Service'!M29</x:f>
        <x:v>0</x:v>
      </x:c>
      <x:c r="Q146" s="7" t="n">
        <x:f>'Customer Service'!N29</x:f>
        <x:v>0</x:v>
      </x:c>
      <x:c r="R146" s="7" t="n">
        <x:f>'Customer Service'!O29</x:f>
        <x:v>0</x:v>
      </x:c>
      <x:c r="S146" s="7" t="n">
        <x:f>'Customer Service'!P29</x:f>
        <x:v>0</x:v>
      </x:c>
      <x:c r="T146" s="7" t="n">
        <x:f>'Customer Service'!Q29</x:f>
        <x:v>0</x:v>
      </x:c>
      <x:c r="U146" s="7" t="n">
        <x:f>'Customer Service'!R29</x:f>
        <x:v>0</x:v>
      </x:c>
      <x:c r="V146" s="7" t="str">
        <x:f>'Customer Service'!S29</x:f>
      </x:c>
      <x:c r="W146" s="7" t="str">
        <x:v>R01</x:v>
      </x:c>
      <x:c r="X146" s="7" t="n">
        <x:f>'Customer Service'!$B$5</x:f>
        <x:v>0</x:v>
      </x:c>
      <x:c r="Y146" s="48" t="n">
        <x:f>'Customer Service'!V29</x:f>
        <x:v>0</x:v>
      </x:c>
      <x:c r="Z146" s="7" t="n">
        <x:f>'Customer Service'!U29</x:f>
        <x:v>0</x:v>
      </x:c>
    </x:row>
    <x:row r="147">
      <x:c r="A147" s="7" t="str">
        <x:v>UX-146</x:v>
      </x:c>
      <x:c r="B147" s="7" t="str">
        <x:v>Customer Service</x:v>
      </x:c>
      <x:c r="C147" s="7" t="str">
        <x:v>Channels</x:v>
      </x:c>
      <x:c r="D147" s="7" t="str">
        <x:v>Email</x:v>
      </x:c>
      <x:c r="E147" s="7" t="str">
        <x:v>Know when reply/receipt email was sent or failed</x:v>
      </x:c>
      <x:c r="F147" s="7" t="str">
        <x:v>Agent should see delivery/outbox state for customer communications.</x:v>
      </x:c>
      <x:c r="G147" s="7" t="str">
        <x:v>Visibility; error recovery</x:v>
      </x:c>
      <x:c r="H147" s="7" t="str">
        <x:v>Replies queue email but CS UI does not show email delivery state.</x:v>
      </x:c>
      <x:c r="I147" s="7" t="str">
        <x:v>Gap</x:v>
      </x:c>
      <x:c r="J147" s="7" t="str">
        <x:v>Expose relevant email outbox status/error on conversation/order timeline.</x:v>
      </x:c>
      <x:c r="K147" s="7" t="str">
        <x:v>Task-based usability</x:v>
      </x:c>
      <x:c r="L147" s="7" t="str">
        <x:v>P1</x:v>
      </x:c>
      <x:c r="M147" s="7" t="str">
        <x:v>Complete without facilitator; SEQ ≥5/7</x:v>
      </x:c>
      <x:c r="N147" s="7" t="str">
        <x:f>'Customer Service'!K30</x:f>
        <x:v>Not Tested</x:v>
      </x:c>
      <x:c r="O147" s="7" t="n">
        <x:f>'Customer Service'!L30</x:f>
        <x:v>0</x:v>
      </x:c>
      <x:c r="P147" s="7" t="n">
        <x:f>'Customer Service'!M30</x:f>
        <x:v>0</x:v>
      </x:c>
      <x:c r="Q147" s="7" t="n">
        <x:f>'Customer Service'!N30</x:f>
        <x:v>0</x:v>
      </x:c>
      <x:c r="R147" s="7" t="n">
        <x:f>'Customer Service'!O30</x:f>
        <x:v>0</x:v>
      </x:c>
      <x:c r="S147" s="7" t="n">
        <x:f>'Customer Service'!P30</x:f>
        <x:v>0</x:v>
      </x:c>
      <x:c r="T147" s="7" t="n">
        <x:f>'Customer Service'!Q30</x:f>
        <x:v>0</x:v>
      </x:c>
      <x:c r="U147" s="7" t="n">
        <x:f>'Customer Service'!R30</x:f>
        <x:v>0</x:v>
      </x:c>
      <x:c r="V147" s="7" t="str">
        <x:f>'Customer Service'!S30</x:f>
      </x:c>
      <x:c r="W147" s="7" t="str">
        <x:v>R01</x:v>
      </x:c>
      <x:c r="X147" s="7" t="n">
        <x:f>'Customer Service'!$B$5</x:f>
        <x:v>0</x:v>
      </x:c>
      <x:c r="Y147" s="48" t="n">
        <x:f>'Customer Service'!V30</x:f>
        <x:v>0</x:v>
      </x:c>
      <x:c r="Z147" s="7" t="n">
        <x:f>'Customer Service'!U30</x:f>
        <x:v>0</x:v>
      </x:c>
    </x:row>
    <x:row r="148">
      <x:c r="A148" s="7" t="str">
        <x:v>UX-147</x:v>
      </x:c>
      <x:c r="B148" s="7" t="str">
        <x:v>Customer Service</x:v>
      </x:c>
      <x:c r="C148" s="7" t="str">
        <x:v>Concurrency</x:v>
      </x:c>
      <x:c r="D148" s="7" t="str">
        <x:v>Collision</x:v>
      </x:c>
      <x:c r="E148" s="7" t="str">
        <x:v>Avoid two agents replying simultaneously</x:v>
      </x:c>
      <x:c r="F148" s="7" t="str">
        <x:v>Shared inbox should reveal when another teammate is viewing/typing/handling the conversation.</x:v>
      </x:c>
      <x:c r="G148" s="7" t="str">
        <x:v>Error prevention; collaboration</x:v>
      </x:c>
      <x:c r="H148" s="7" t="str">
        <x:v>No agent presence/collision detection is evident.</x:v>
      </x:c>
      <x:c r="I148" s="7" t="str">
        <x:v>Gap</x:v>
      </x:c>
      <x:c r="J148" s="7" t="str">
        <x:v>Add conversation lock/presence or at least 'currently handled by' state.</x:v>
      </x:c>
      <x:c r="K148" s="7" t="str">
        <x:v>Task-based usability</x:v>
      </x:c>
      <x:c r="L148" s="7" t="str">
        <x:v>P1</x:v>
      </x:c>
      <x:c r="M148" s="7" t="str">
        <x:v>Complete without facilitator; SEQ ≥5/7</x:v>
      </x:c>
      <x:c r="N148" s="7" t="str">
        <x:f>'Customer Service'!K31</x:f>
        <x:v>Not Tested</x:v>
      </x:c>
      <x:c r="O148" s="7" t="n">
        <x:f>'Customer Service'!L31</x:f>
        <x:v>0</x:v>
      </x:c>
      <x:c r="P148" s="7" t="n">
        <x:f>'Customer Service'!M31</x:f>
        <x:v>0</x:v>
      </x:c>
      <x:c r="Q148" s="7" t="n">
        <x:f>'Customer Service'!N31</x:f>
        <x:v>0</x:v>
      </x:c>
      <x:c r="R148" s="7" t="n">
        <x:f>'Customer Service'!O31</x:f>
        <x:v>0</x:v>
      </x:c>
      <x:c r="S148" s="7" t="n">
        <x:f>'Customer Service'!P31</x:f>
        <x:v>0</x:v>
      </x:c>
      <x:c r="T148" s="7" t="n">
        <x:f>'Customer Service'!Q31</x:f>
        <x:v>0</x:v>
      </x:c>
      <x:c r="U148" s="7" t="n">
        <x:f>'Customer Service'!R31</x:f>
        <x:v>0</x:v>
      </x:c>
      <x:c r="V148" s="7" t="str">
        <x:f>'Customer Service'!S31</x:f>
      </x:c>
      <x:c r="W148" s="7" t="str">
        <x:v>R01,R12</x:v>
      </x:c>
      <x:c r="X148" s="7" t="n">
        <x:f>'Customer Service'!$B$5</x:f>
        <x:v>0</x:v>
      </x:c>
      <x:c r="Y148" s="48" t="n">
        <x:f>'Customer Service'!V31</x:f>
        <x:v>0</x:v>
      </x:c>
      <x:c r="Z148" s="7" t="n">
        <x:f>'Customer Service'!U31</x:f>
        <x:v>0</x:v>
      </x:c>
    </x:row>
    <x:row r="149">
      <x:c r="A149" s="7" t="str">
        <x:v>UX-148</x:v>
      </x:c>
      <x:c r="B149" s="7" t="str">
        <x:v>Customer Service</x:v>
      </x:c>
      <x:c r="C149" s="7" t="str">
        <x:v>Tasks</x:v>
      </x:c>
      <x:c r="D149" s="7" t="str">
        <x:v>Task List</x:v>
      </x:c>
      <x:c r="E149" s="7" t="str">
        <x:v>See onboarding tasks relevant to CS</x:v>
      </x:c>
      <x:c r="F149" s="7" t="str">
        <x:v>CS tasks should show customer/order context, priority and next action.</x:v>
      </x:c>
      <x:c r="G149" s="7" t="str">
        <x:v>Efficiency</x:v>
      </x:c>
      <x:c r="H149" s="7" t="str">
        <x:v>CS role has tasks.view/tasks.update and order-generated onboarding task.</x:v>
      </x:c>
      <x:c r="I149" s="7" t="str">
        <x:v>Meets</x:v>
      </x:c>
      <x:c r="J149" s="7" t="str">
        <x:v>Add due/SLA timing and direct link to conversation.</x:v>
      </x:c>
      <x:c r="K149" s="7" t="str">
        <x:v>Task-based usability</x:v>
      </x:c>
      <x:c r="L149" s="7" t="str">
        <x:v>P1</x:v>
      </x:c>
      <x:c r="M149" s="7" t="str">
        <x:v>Complete without facilitator; SEQ ≥5/7</x:v>
      </x:c>
      <x:c r="N149" s="7" t="str">
        <x:f>'Customer Service'!K32</x:f>
        <x:v>Not Tested</x:v>
      </x:c>
      <x:c r="O149" s="7" t="n">
        <x:f>'Customer Service'!L32</x:f>
        <x:v>0</x:v>
      </x:c>
      <x:c r="P149" s="7" t="n">
        <x:f>'Customer Service'!M32</x:f>
        <x:v>0</x:v>
      </x:c>
      <x:c r="Q149" s="7" t="n">
        <x:f>'Customer Service'!N32</x:f>
        <x:v>0</x:v>
      </x:c>
      <x:c r="R149" s="7" t="n">
        <x:f>'Customer Service'!O32</x:f>
        <x:v>0</x:v>
      </x:c>
      <x:c r="S149" s="7" t="n">
        <x:f>'Customer Service'!P32</x:f>
        <x:v>0</x:v>
      </x:c>
      <x:c r="T149" s="7" t="n">
        <x:f>'Customer Service'!Q32</x:f>
        <x:v>0</x:v>
      </x:c>
      <x:c r="U149" s="7" t="n">
        <x:f>'Customer Service'!R32</x:f>
        <x:v>0</x:v>
      </x:c>
      <x:c r="V149" s="7" t="str">
        <x:f>'Customer Service'!S32</x:f>
      </x:c>
      <x:c r="W149" s="7" t="str">
        <x:v>R01</x:v>
      </x:c>
      <x:c r="X149" s="7" t="n">
        <x:f>'Customer Service'!$B$5</x:f>
        <x:v>0</x:v>
      </x:c>
      <x:c r="Y149" s="48" t="n">
        <x:f>'Customer Service'!V32</x:f>
        <x:v>0</x:v>
      </x:c>
      <x:c r="Z149" s="7" t="n">
        <x:f>'Customer Service'!U32</x:f>
        <x:v>0</x:v>
      </x:c>
    </x:row>
    <x:row r="150">
      <x:c r="A150" s="7" t="str">
        <x:v>UX-149</x:v>
      </x:c>
      <x:c r="B150" s="7" t="str">
        <x:v>Customer Service</x:v>
      </x:c>
      <x:c r="C150" s="7" t="str">
        <x:v>Tasks</x:v>
      </x:c>
      <x:c r="D150" s="7" t="str">
        <x:v>Status</x:v>
      </x:c>
      <x:c r="E150" s="7" t="str">
        <x:v>Update task state quickly</x:v>
      </x:c>
      <x:c r="F150" s="7" t="str">
        <x:v>Task state should stay synchronized with support workflow and avoid duplicate status concepts.</x:v>
      </x:c>
      <x:c r="G150" s="7" t="str">
        <x:v>Consistency</x:v>
      </x:c>
      <x:c r="H150" s="7" t="str">
        <x:v>Task states are editable; conversation status is separate.</x:v>
      </x:c>
      <x:c r="I150" s="7" t="str">
        <x:v>Partial</x:v>
      </x:c>
      <x:c r="J150" s="7" t="str">
        <x:v>Define relationship between Task status and Conversation status to avoid conflicting states.</x:v>
      </x:c>
      <x:c r="K150" s="7" t="str">
        <x:v>Task-based usability</x:v>
      </x:c>
      <x:c r="L150" s="7" t="str">
        <x:v>P1</x:v>
      </x:c>
      <x:c r="M150" s="7" t="str">
        <x:v>Complete without facilitator; SEQ ≥5/7</x:v>
      </x:c>
      <x:c r="N150" s="7" t="str">
        <x:f>'Customer Service'!K33</x:f>
        <x:v>Not Tested</x:v>
      </x:c>
      <x:c r="O150" s="7" t="n">
        <x:f>'Customer Service'!L33</x:f>
        <x:v>0</x:v>
      </x:c>
      <x:c r="P150" s="7" t="n">
        <x:f>'Customer Service'!M33</x:f>
        <x:v>0</x:v>
      </x:c>
      <x:c r="Q150" s="7" t="n">
        <x:f>'Customer Service'!N33</x:f>
        <x:v>0</x:v>
      </x:c>
      <x:c r="R150" s="7" t="n">
        <x:f>'Customer Service'!O33</x:f>
        <x:v>0</x:v>
      </x:c>
      <x:c r="S150" s="7" t="n">
        <x:f>'Customer Service'!P33</x:f>
        <x:v>0</x:v>
      </x:c>
      <x:c r="T150" s="7" t="n">
        <x:f>'Customer Service'!Q33</x:f>
        <x:v>0</x:v>
      </x:c>
      <x:c r="U150" s="7" t="n">
        <x:f>'Customer Service'!R33</x:f>
        <x:v>0</x:v>
      </x:c>
      <x:c r="V150" s="7" t="str">
        <x:f>'Customer Service'!S33</x:f>
      </x:c>
      <x:c r="W150" s="7" t="str">
        <x:v>R01</x:v>
      </x:c>
      <x:c r="X150" s="7" t="n">
        <x:f>'Customer Service'!$B$5</x:f>
        <x:v>0</x:v>
      </x:c>
      <x:c r="Y150" s="48" t="n">
        <x:f>'Customer Service'!V33</x:f>
        <x:v>0</x:v>
      </x:c>
      <x:c r="Z150" s="7" t="n">
        <x:f>'Customer Service'!U33</x:f>
        <x:v>0</x:v>
      </x:c>
    </x:row>
    <x:row r="151">
      <x:c r="A151" s="7" t="str">
        <x:v>UX-150</x:v>
      </x:c>
      <x:c r="B151" s="7" t="str">
        <x:v>Customer Service</x:v>
      </x:c>
      <x:c r="C151" s="7" t="str">
        <x:v>Notifications</x:v>
      </x:c>
      <x:c r="D151" s="7" t="str">
        <x:v>New Chat/Task</x:v>
      </x:c>
      <x:c r="E151" s="7" t="str">
        <x:v>Notice new work without constant refreshing</x:v>
      </x:c>
      <x:c r="F151" s="7" t="str">
        <x:v>New work should trigger visible notification and optional audio, with an obvious mute preference.</x:v>
      </x:c>
      <x:c r="G151" s="7" t="str">
        <x:v>Visibility; user control</x:v>
      </x:c>
      <x:c r="H151" s="7" t="str">
        <x:v>Polling-based task/chat count can trigger tone; mute is stored.</x:v>
      </x:c>
      <x:c r="I151" s="7" t="str">
        <x:v>Partial</x:v>
      </x:c>
      <x:c r="J151" s="7" t="str">
        <x:v>Add unread badge/desktop notification option and deep-link to the new item.</x:v>
      </x:c>
      <x:c r="K151" s="7" t="str">
        <x:v>Task-based usability</x:v>
      </x:c>
      <x:c r="L151" s="7" t="str">
        <x:v>P1</x:v>
      </x:c>
      <x:c r="M151" s="7" t="str">
        <x:v>Complete without facilitator; SEQ ≥5/7</x:v>
      </x:c>
      <x:c r="N151" s="7" t="str">
        <x:f>'Customer Service'!K34</x:f>
        <x:v>Not Tested</x:v>
      </x:c>
      <x:c r="O151" s="7" t="n">
        <x:f>'Customer Service'!L34</x:f>
        <x:v>0</x:v>
      </x:c>
      <x:c r="P151" s="7" t="n">
        <x:f>'Customer Service'!M34</x:f>
        <x:v>0</x:v>
      </x:c>
      <x:c r="Q151" s="7" t="n">
        <x:f>'Customer Service'!N34</x:f>
        <x:v>0</x:v>
      </x:c>
      <x:c r="R151" s="7" t="n">
        <x:f>'Customer Service'!O34</x:f>
        <x:v>0</x:v>
      </x:c>
      <x:c r="S151" s="7" t="n">
        <x:f>'Customer Service'!P34</x:f>
        <x:v>0</x:v>
      </x:c>
      <x:c r="T151" s="7" t="n">
        <x:f>'Customer Service'!Q34</x:f>
        <x:v>0</x:v>
      </x:c>
      <x:c r="U151" s="7" t="n">
        <x:f>'Customer Service'!R34</x:f>
        <x:v>0</x:v>
      </x:c>
      <x:c r="V151" s="7" t="str">
        <x:f>'Customer Service'!S34</x:f>
      </x:c>
      <x:c r="W151" s="7" t="str">
        <x:v>R01</x:v>
      </x:c>
      <x:c r="X151" s="7" t="n">
        <x:f>'Customer Service'!$B$5</x:f>
        <x:v>0</x:v>
      </x:c>
      <x:c r="Y151" s="48" t="n">
        <x:f>'Customer Service'!V34</x:f>
        <x:v>0</x:v>
      </x:c>
      <x:c r="Z151" s="7" t="n">
        <x:f>'Customer Service'!U34</x:f>
        <x:v>0</x:v>
      </x:c>
    </x:row>
    <x:row r="152">
      <x:c r="A152" s="7" t="str">
        <x:v>UX-151</x:v>
      </x:c>
      <x:c r="B152" s="7" t="str">
        <x:v>Customer Service</x:v>
      </x:c>
      <x:c r="C152" s="7" t="str">
        <x:v>Accessibility</x:v>
      </x:c>
      <x:c r="D152" s="7" t="str">
        <x:v>Keyboard</x:v>
      </x:c>
      <x:c r="E152" s="7" t="str">
        <x:v>Work inbox using keyboard</x:v>
      </x:c>
      <x:c r="F152" s="7" t="str">
        <x:v>Conversation list, search, reply, status and task actions should be keyboard operable with visible focus.</x:v>
      </x:c>
      <x:c r="G152" s="7" t="str">
        <x:v>Accessibility</x:v>
      </x:c>
      <x:c r="H152" s="7" t="str">
        <x:v>No CS-specific keyboard audit exists.</x:v>
      </x:c>
      <x:c r="I152" s="7" t="str">
        <x:v>Needs User Test</x:v>
      </x:c>
      <x:c r="J152" s="7" t="str">
        <x:v>Run keyboard-only triage → reply → resolve → next conversation.</x:v>
      </x:c>
      <x:c r="K152" s="7" t="str">
        <x:v>WCAG manual</x:v>
      </x:c>
      <x:c r="L152" s="7" t="str">
        <x:v>P0</x:v>
      </x:c>
      <x:c r="M152" s="7" t="str">
        <x:v>Complete without facilitator; SEQ ≥5/7</x:v>
      </x:c>
      <x:c r="N152" s="7" t="str">
        <x:f>'Customer Service'!K35</x:f>
        <x:v>Not Tested</x:v>
      </x:c>
      <x:c r="O152" s="7" t="n">
        <x:f>'Customer Service'!L35</x:f>
        <x:v>0</x:v>
      </x:c>
      <x:c r="P152" s="7" t="n">
        <x:f>'Customer Service'!M35</x:f>
        <x:v>0</x:v>
      </x:c>
      <x:c r="Q152" s="7" t="n">
        <x:f>'Customer Service'!N35</x:f>
        <x:v>0</x:v>
      </x:c>
      <x:c r="R152" s="7" t="n">
        <x:f>'Customer Service'!O35</x:f>
        <x:v>0</x:v>
      </x:c>
      <x:c r="S152" s="7" t="n">
        <x:f>'Customer Service'!P35</x:f>
        <x:v>0</x:v>
      </x:c>
      <x:c r="T152" s="7" t="n">
        <x:f>'Customer Service'!Q35</x:f>
        <x:v>0</x:v>
      </x:c>
      <x:c r="U152" s="7" t="n">
        <x:f>'Customer Service'!R35</x:f>
        <x:v>0</x:v>
      </x:c>
      <x:c r="V152" s="7" t="str">
        <x:f>'Customer Service'!S35</x:f>
      </x:c>
      <x:c r="W152" s="7" t="str">
        <x:v>R03,R05</x:v>
      </x:c>
      <x:c r="X152" s="7" t="n">
        <x:f>'Customer Service'!$B$5</x:f>
        <x:v>0</x:v>
      </x:c>
      <x:c r="Y152" s="48" t="n">
        <x:f>'Customer Service'!V35</x:f>
        <x:v>0</x:v>
      </x:c>
      <x:c r="Z152" s="7" t="n">
        <x:f>'Customer Service'!U35</x:f>
        <x:v>0</x:v>
      </x:c>
    </x:row>
    <x:row r="153">
      <x:c r="A153" s="7" t="str">
        <x:v>UX-152</x:v>
      </x:c>
      <x:c r="B153" s="7" t="str">
        <x:v>Customer Service</x:v>
      </x:c>
      <x:c r="C153" s="7" t="str">
        <x:v>Privacy</x:v>
      </x:c>
      <x:c r="D153" s="7" t="str">
        <x:v>Minimal Exposure</x:v>
      </x:c>
      <x:c r="E153" s="7" t="str">
        <x:v>See only data required to support customer</x:v>
      </x:c>
      <x:c r="F153" s="7" t="str">
        <x:v>CS should not receive unrelated admin/user-management permissions.</x:v>
      </x:c>
      <x:c r="G153" s="7" t="str">
        <x:v>Least privilege</x:v>
      </x:c>
      <x:c r="H153" s="7" t="str">
        <x:v>CS seed role contains CS dashboard/tasks/conversations/orders/articles view; no user/role management.</x:v>
      </x:c>
      <x:c r="I153" s="7" t="str">
        <x:v>Partial</x:v>
      </x:c>
      <x:c r="J153" s="7" t="str">
        <x:v>Review whether articles.view and full orders.view are necessary or whether contextual order view is enough.</x:v>
      </x:c>
      <x:c r="K153" s="7" t="str">
        <x:v>Task-based usability</x:v>
      </x:c>
      <x:c r="L153" s="7" t="str">
        <x:v>P1</x:v>
      </x:c>
      <x:c r="M153" s="7" t="str">
        <x:v>Complete without facilitator; SEQ ≥5/7</x:v>
      </x:c>
      <x:c r="N153" s="7" t="str">
        <x:f>'Customer Service'!K36</x:f>
        <x:v>Not Tested</x:v>
      </x:c>
      <x:c r="O153" s="7" t="n">
        <x:f>'Customer Service'!L36</x:f>
        <x:v>0</x:v>
      </x:c>
      <x:c r="P153" s="7" t="n">
        <x:f>'Customer Service'!M36</x:f>
        <x:v>0</x:v>
      </x:c>
      <x:c r="Q153" s="7" t="n">
        <x:f>'Customer Service'!N36</x:f>
        <x:v>0</x:v>
      </x:c>
      <x:c r="R153" s="7" t="n">
        <x:f>'Customer Service'!O36</x:f>
        <x:v>0</x:v>
      </x:c>
      <x:c r="S153" s="7" t="n">
        <x:f>'Customer Service'!P36</x:f>
        <x:v>0</x:v>
      </x:c>
      <x:c r="T153" s="7" t="n">
        <x:f>'Customer Service'!Q36</x:f>
        <x:v>0</x:v>
      </x:c>
      <x:c r="U153" s="7" t="n">
        <x:f>'Customer Service'!R36</x:f>
        <x:v>0</x:v>
      </x:c>
      <x:c r="V153" s="7" t="n">
        <x:f>'Customer Service'!S36</x:f>
        <x:v>0</x:v>
      </x:c>
      <x:c r="W153" s="7" t="str">
        <x:v>R15,R16</x:v>
      </x:c>
      <x:c r="X153" s="7" t="n">
        <x:f>'Customer Service'!$B$5</x:f>
        <x:v>0</x:v>
      </x:c>
      <x:c r="Y153" s="48" t="n">
        <x:f>'Customer Service'!V36</x:f>
        <x:v>0</x:v>
      </x:c>
      <x:c r="Z153" s="7" t="n">
        <x:f>'Customer Service'!U36</x:f>
        <x:v>0</x:v>
      </x:c>
    </x:row>
  </x:sheetData>
  <x:conditionalFormatting sqref="I2:I153">
    <x:cfRule type="expression" dxfId="0" priority="1">
      <x:formula>I2="Meets"</x:formula>
    </x:cfRule>
    <x:cfRule type="expression" dxfId="1" priority="2">
      <x:formula>I2="Partial"</x:formula>
    </x:cfRule>
    <x:cfRule type="expression" dxfId="2" priority="3">
      <x:formula>I2="Gap"</x:formula>
    </x:cfRule>
    <x:cfRule type="expression" dxfId="3" priority="4">
      <x:formula>I2="Needs User Test"</x:formula>
    </x:cfRule>
  </x:conditionalFormatting>
  <x:conditionalFormatting sqref="N2:N153">
    <x:cfRule type="expression" dxfId="4" priority="5">
      <x:formula>N2="Pass"</x:formula>
    </x:cfRule>
    <x:cfRule type="expression" dxfId="5" priority="6">
      <x:formula>N2="Fail"</x:formula>
    </x:cfRule>
  </x:conditionalFormatting>
  <x:dataValidations count="7">
    <x:dataValidation type="list" sqref="I2:I153">
      <x:formula1>"Meets,Partial,Gap,Needs User Test"</x:formula1>
    </x:dataValidation>
    <x:dataValidation type="list" sqref="L2:L153">
      <x:formula1>"P0,P1,P2"</x:formula1>
    </x:dataValidation>
    <x:dataValidation type="list" sqref="N2:N153">
      <x:formula1>"Not Tested,Pass,Fail,Blocked"</x:formula1>
    </x:dataValidation>
    <x:dataValidation type="list" sqref="O2:O153">
      <x:formula1>"Yes,No,N/A"</x:formula1>
    </x:dataValidation>
    <x:dataValidation type="list" sqref="R2:R153">
      <x:formula1>"None,Hint,Direct"</x:formula1>
    </x:dataValidation>
    <x:dataValidation type="list" sqref="S2:S153">
      <x:formula1>"1,2,3,4,5,6,7"</x:formula1>
    </x:dataValidation>
    <x:dataValidation type="list" sqref="T2:T153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f79e90ca9e4f3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0" hidden="0" customWidth="1"/>
    <x:col min="4" max="4" width="12" hidden="0" customWidth="1"/>
    <x:col min="5" max="5" width="22" hidden="0" customWidth="1"/>
    <x:col min="6" max="6" width="42" hidden="0" customWidth="1"/>
    <x:col min="7" max="7" width="50" hidden="0" customWidth="1"/>
    <x:col min="8" max="8" width="50" hidden="0" customWidth="1"/>
    <x:col min="9" max="9" width="32" hidden="0" customWidth="1"/>
    <x:col min="10" max="10" width="15" hidden="0" customWidth="1"/>
    <x:col min="11" max="11" width="18" hidden="0" customWidth="1"/>
    <x:col min="12" max="12" width="14" hidden="0" customWidth="1"/>
    <x:col min="13" max="13" width="16" hidden="0" customWidth="1"/>
    <x:col min="14" max="14" width="38" hidden="0" customWidth="1"/>
  </x:cols>
  <x:sheetData>
    <x:row r="1" ht="28" customHeight="1">
      <x:c r="A1" s="6" t="str">
        <x:v>Gap ID</x:v>
      </x:c>
      <x:c r="B1" s="6" t="str">
        <x:v>Role</x:v>
      </x:c>
      <x:c r="C1" s="6" t="str">
        <x:v>Priority</x:v>
      </x:c>
      <x:c r="D1" s="6" t="str">
        <x:v>Severity</x:v>
      </x:c>
      <x:c r="E1" s="6" t="str">
        <x:v>Feature</x:v>
      </x:c>
      <x:c r="F1" s="6" t="str">
        <x:v>Issue / Risk</x:v>
      </x:c>
      <x:c r="G1" s="6" t="str">
        <x:v>Current v0.13 Evidence</x:v>
      </x:c>
      <x:c r="H1" s="6" t="str">
        <x:v>Recommended Improvement</x:v>
      </x:c>
      <x:c r="I1" s="6" t="str">
        <x:v>UX Basis</x:v>
      </x:c>
      <x:c r="J1" s="6" t="str">
        <x:v>Source IDs</x:v>
      </x:c>
      <x:c r="K1" s="6" t="str">
        <x:v>Owner</x:v>
      </x:c>
      <x:c r="L1" s="6" t="str">
        <x:v>Status</x:v>
      </x:c>
      <x:c r="M1" s="6" t="str">
        <x:v>Target Release</x:v>
      </x:c>
      <x:c r="N1" s="6" t="str">
        <x:v>Validation</x:v>
      </x:c>
    </x:row>
    <x:row r="2">
      <x:c r="A2" s="7" t="str">
        <x:v>GAP-001</x:v>
      </x:c>
      <x:c r="B2" s="7" t="str">
        <x:v>Viewer</x:v>
      </x:c>
      <x:c r="C2" s="7" t="str">
        <x:v>P0</x:v>
      </x:c>
      <x:c r="D2" s="7" t="str">
        <x:v>Critical</x:v>
      </x:c>
      <x:c r="E2" s="7" t="str">
        <x:v>Landing Page</x:v>
      </x:c>
      <x:c r="F2" s="7" t="str">
        <x:v>Understand what ikrarku offers within 10 seconds</x:v>
      </x:c>
      <x:c r="G2" s="7" t="str">
        <x:v>Hero explains wedding website + managed onboarding, but also surfaces 'Real DB', 'SQLite persistence', database status and other implementation jargon.</x:v>
      </x:c>
      <x:c r="H2" s="7" t="str">
        <x:v>Remove database/SQLite/internal architecture copy from Viewer UI; replace with trust/value messages such as secure payment, managed onboarding, responsive invitation.</x:v>
      </x:c>
      <x:c r="I2" s="7" t="str">
        <x:v>Match real world; minimalist design</x:v>
      </x:c>
      <x:c r="J2" s="7" t="str">
        <x:v>R01</x:v>
      </x:c>
      <x:c r="K2" s="7" t="str"/>
      <x:c r="L2" s="7" t="str">
        <x:v>Open</x:v>
      </x:c>
      <x:c r="M2" s="7" t="str"/>
      <x:c r="N2" s="7" t="str"/>
    </x:row>
    <x:row r="3">
      <x:c r="A3" s="7" t="str">
        <x:v>GAP-002</x:v>
      </x:c>
      <x:c r="B3" s="7" t="str">
        <x:v>Viewer</x:v>
      </x:c>
      <x:c r="C3" s="7" t="str">
        <x:v>P1</x:v>
      </x:c>
      <x:c r="D3" s="7" t="str">
        <x:v>Medium</x:v>
      </x:c>
      <x:c r="E3" s="7" t="str">
        <x:v>Navigation</x:v>
      </x:c>
      <x:c r="F3" s="7" t="str">
        <x:v>Reach Templates, Articles, Sign In and primary CTA</x:v>
      </x:c>
      <x:c r="G3" s="7" t="str">
        <x:v>Primary anchors and auth CTAs exist.</x:v>
      </x:c>
      <x:c r="H3" s="7" t="str">
        <x:v>Validate keyboard focus, sticky/mobile navigation and active location; localize language consistently.</x:v>
      </x:c>
      <x:c r="I3" s="7" t="str">
        <x:v>Consistency; accessibility</x:v>
      </x:c>
      <x:c r="J3" s="7" t="str">
        <x:v>R01,R03</x:v>
      </x:c>
      <x:c r="K3" s="7" t="str"/>
      <x:c r="L3" s="7" t="str">
        <x:v>Open</x:v>
      </x:c>
      <x:c r="M3" s="7" t="str"/>
      <x:c r="N3" s="7" t="str"/>
    </x:row>
    <x:row r="4">
      <x:c r="A4" s="7" t="str">
        <x:v>GAP-003</x:v>
      </x:c>
      <x:c r="B4" s="7" t="str">
        <x:v>Viewer</x:v>
      </x:c>
      <x:c r="C4" s="7" t="str">
        <x:v>P1</x:v>
      </x:c>
      <x:c r="D4" s="7" t="str">
        <x:v>High</x:v>
      </x:c>
      <x:c r="E4" s="7" t="str">
        <x:v>Template Catalog</x:v>
      </x:c>
      <x:c r="F4" s="7" t="str">
        <x:v>Find a template when catalog grows beyond a few items</x:v>
      </x:c>
      <x:c r="G4" s="7" t="str">
        <x:v>Landing hard-limits showcase to templates.slice(0,6); no public search/filter or 'View all' flow is evident.</x:v>
      </x:c>
      <x:c r="H4" s="7" t="str">
        <x:v>Add View All Templates page with search, category, price and style filters.</x:v>
      </x:c>
      <x:c r="I4" s="7" t="str">
        <x:v>Efficiency; recognition</x:v>
      </x:c>
      <x:c r="J4" s="7" t="str">
        <x:v>R01</x:v>
      </x:c>
      <x:c r="K4" s="7" t="str"/>
      <x:c r="L4" s="7" t="str">
        <x:v>Open</x:v>
      </x:c>
      <x:c r="M4" s="7" t="str"/>
      <x:c r="N4" s="7" t="str"/>
    </x:row>
    <x:row r="5">
      <x:c r="A5" s="7" t="str">
        <x:v>GAP-004</x:v>
      </x:c>
      <x:c r="B5" s="7" t="str">
        <x:v>Viewer</x:v>
      </x:c>
      <x:c r="C5" s="7" t="str">
        <x:v>P0</x:v>
      </x:c>
      <x:c r="D5" s="7" t="str">
        <x:v>Critical</x:v>
      </x:c>
      <x:c r="E5" s="7" t="str">
        <x:v>Template Preview</x:v>
      </x:c>
      <x:c r="F5" s="7" t="str">
        <x:v>Preview the actual product before purchase</x:v>
      </x:c>
      <x:c r="G5" s="7" t="str">
        <x:v>Current preview overlay is a stylized sample with hard-coded couple/date, not the actual saved template canvas.</x:v>
      </x:c>
      <x:c r="H5" s="7" t="str">
        <x:v>Render the actual template canvas in a sandboxed full-page preview with desktop/mobile switch.</x:v>
      </x:c>
      <x:c r="I5" s="7" t="str">
        <x:v>Accurate system feedback; decision support</x:v>
      </x:c>
      <x:c r="J5" s="7" t="str">
        <x:v>R01</x:v>
      </x:c>
      <x:c r="K5" s="7" t="str"/>
      <x:c r="L5" s="7" t="str">
        <x:v>Open</x:v>
      </x:c>
      <x:c r="M5" s="7" t="str"/>
      <x:c r="N5" s="7" t="str"/>
    </x:row>
    <x:row r="6">
      <x:c r="A6" s="7" t="str">
        <x:v>GAP-005</x:v>
      </x:c>
      <x:c r="B6" s="7" t="str">
        <x:v>Viewer</x:v>
      </x:c>
      <x:c r="C6" s="7" t="str">
        <x:v>P0</x:v>
      </x:c>
      <x:c r="D6" s="7" t="str">
        <x:v>High</x:v>
      </x:c>
      <x:c r="E6" s="7" t="str">
        <x:v>Payment Methods</x:v>
      </x:c>
      <x:c r="F6" s="7" t="str">
        <x:v>Choose QRIS, GoPay or Card confidently</x:v>
      </x:c>
      <x:c r="G6" s="7" t="str">
        <x:v>Enabled methods are shown as selectable cards.</x:v>
      </x:c>
      <x:c r="H6" s="7" t="str">
        <x:v>Validate selected state contrast, keyboard selection and production gateway error states.</x:v>
      </x:c>
      <x:c r="I6" s="7" t="str">
        <x:v>Visibility; accessibility</x:v>
      </x:c>
      <x:c r="J6" s="7" t="str">
        <x:v>R03,R06</x:v>
      </x:c>
      <x:c r="K6" s="7" t="str"/>
      <x:c r="L6" s="7" t="str">
        <x:v>Open</x:v>
      </x:c>
      <x:c r="M6" s="7" t="str"/>
      <x:c r="N6" s="7" t="str"/>
    </x:row>
    <x:row r="7">
      <x:c r="A7" s="7" t="str">
        <x:v>GAP-006</x:v>
      </x:c>
      <x:c r="B7" s="7" t="str">
        <x:v>Viewer</x:v>
      </x:c>
      <x:c r="C7" s="7" t="str">
        <x:v>P0</x:v>
      </x:c>
      <x:c r="D7" s="7" t="str">
        <x:v>Critical</x:v>
      </x:c>
      <x:c r="E7" s="7" t="str">
        <x:v>Payment Copy</x:v>
      </x:c>
      <x:c r="F7" s="7" t="str">
        <x:v>Complete payment without seeing internal staging concepts</x:v>
      </x:c>
      <x:c r="G7" s="7" t="str">
        <x:v>Checkout explicitly shows 'Secure database checkout' and 'Localhost payment mode'.</x:v>
      </x:c>
      <x:c r="H7" s="7" t="str">
        <x:v>Hide environment/debug copy from Viewer. Keep a separate staging banner only for authorized testers.</x:v>
      </x:c>
      <x:c r="I7" s="7" t="str">
        <x:v>Match real world; trust</x:v>
      </x:c>
      <x:c r="J7" s="7" t="str">
        <x:v>R01</x:v>
      </x:c>
      <x:c r="K7" s="7" t="str"/>
      <x:c r="L7" s="7" t="str">
        <x:v>Open</x:v>
      </x:c>
      <x:c r="M7" s="7" t="str"/>
      <x:c r="N7" s="7" t="str"/>
    </x:row>
    <x:row r="8">
      <x:c r="A8" s="7" t="str">
        <x:v>GAP-007</x:v>
      </x:c>
      <x:c r="B8" s="7" t="str">
        <x:v>Viewer</x:v>
      </x:c>
      <x:c r="C8" s="7" t="str">
        <x:v>P1</x:v>
      </x:c>
      <x:c r="D8" s="7" t="str">
        <x:v>High</x:v>
      </x:c>
      <x:c r="E8" s="7" t="str">
        <x:v>Return to Journey</x:v>
      </x:c>
      <x:c r="F8" s="7" t="str">
        <x:v>Sign in/register from checkout without losing purchase context</x:v>
      </x:c>
      <x:c r="G8" s="7" t="str">
        <x:v>Sign In/Register changes view; no explicit return-to-checkout state is evident.</x:v>
      </x:c>
      <x:c r="H8" s="7" t="str">
        <x:v>Persist checkout intent/template and return after authentication/verification.</x:v>
      </x:c>
      <x:c r="I8" s="7" t="str">
        <x:v>User control and continuity</x:v>
      </x:c>
      <x:c r="J8" s="7" t="str">
        <x:v>R01,R06</x:v>
      </x:c>
      <x:c r="K8" s="7" t="str"/>
      <x:c r="L8" s="7" t="str">
        <x:v>Open</x:v>
      </x:c>
      <x:c r="M8" s="7" t="str"/>
      <x:c r="N8" s="7" t="str"/>
    </x:row>
    <x:row r="9">
      <x:c r="A9" s="7" t="str">
        <x:v>GAP-008</x:v>
      </x:c>
      <x:c r="B9" s="7" t="str">
        <x:v>Viewer</x:v>
      </x:c>
      <x:c r="C9" s="7" t="str">
        <x:v>P0</x:v>
      </x:c>
      <x:c r="D9" s="7" t="str">
        <x:v>High</x:v>
      </x:c>
      <x:c r="E9" s="7" t="str">
        <x:v>Live Chat</x:v>
      </x:c>
      <x:c r="F9" s="7" t="str">
        <x:v>Send a message and see it remain visible</x:v>
      </x:c>
      <x:c r="G9" s="7" t="str">
        <x:v>v0.12+ flow persists messages and uses public conversation token.</x:v>
      </x:c>
      <x:c r="H9" s="7" t="str">
        <x:v>Add explicit sending/failed/retry state and unread reply indicator.</x:v>
      </x:c>
      <x:c r="I9" s="7" t="str">
        <x:v>Visibility; error recovery</x:v>
      </x:c>
      <x:c r="J9" s="7" t="str">
        <x:v>R01</x:v>
      </x:c>
      <x:c r="K9" s="7" t="str"/>
      <x:c r="L9" s="7" t="str">
        <x:v>Open</x:v>
      </x:c>
      <x:c r="M9" s="7" t="str"/>
      <x:c r="N9" s="7" t="str"/>
    </x:row>
    <x:row r="10">
      <x:c r="A10" s="7" t="str">
        <x:v>GAP-009</x:v>
      </x:c>
      <x:c r="B10" s="7" t="str">
        <x:v>Viewer</x:v>
      </x:c>
      <x:c r="C10" s="7" t="str">
        <x:v>P0</x:v>
      </x:c>
      <x:c r="D10" s="7" t="str">
        <x:v>High</x:v>
      </x:c>
      <x:c r="E10" s="7" t="str">
        <x:v>Sound</x:v>
      </x:c>
      <x:c r="F10" s="7" t="str">
        <x:v>Control background sound</x:v>
      </x:c>
      <x:c r="G10" s="7" t="str">
        <x:v>Fixed disc player exists when Sound feature is active.</x:v>
      </x:c>
      <x:c r="H10" s="7" t="str">
        <x:v>Validate no unwanted autoplay, persistent pause state and WCAG audio control expectations.</x:v>
      </x:c>
      <x:c r="I10" s="7" t="str">
        <x:v>User control</x:v>
      </x:c>
      <x:c r="J10" s="7" t="str">
        <x:v>R01,R03</x:v>
      </x:c>
      <x:c r="K10" s="7" t="str"/>
      <x:c r="L10" s="7" t="str">
        <x:v>Open</x:v>
      </x:c>
      <x:c r="M10" s="7" t="str"/>
      <x:c r="N10" s="7" t="str"/>
    </x:row>
    <x:row r="11">
      <x:c r="A11" s="7" t="str">
        <x:v>GAP-010</x:v>
      </x:c>
      <x:c r="B11" s="7" t="str">
        <x:v>Viewer</x:v>
      </x:c>
      <x:c r="C11" s="7" t="str">
        <x:v>P1</x:v>
      </x:c>
      <x:c r="D11" s="7" t="str">
        <x:v>Medium</x:v>
      </x:c>
      <x:c r="E11" s="7" t="str">
        <x:v>Greetings</x:v>
      </x:c>
      <x:c r="F11" s="7" t="str">
        <x:v>Send a greeting/message</x:v>
      </x:c>
      <x:c r="G11" s="7" t="str">
        <x:v>Greeting submission exists.</x:v>
      </x:c>
      <x:c r="H11" s="7" t="str">
        <x:v>Add explicit privacy/moderation copy and success/duplicate/error states.</x:v>
      </x:c>
      <x:c r="I11" s="7" t="str">
        <x:v>Visibility; privacy clarity</x:v>
      </x:c>
      <x:c r="J11" s="7" t="str">
        <x:v>R01</x:v>
      </x:c>
      <x:c r="K11" s="7" t="str"/>
      <x:c r="L11" s="7" t="str">
        <x:v>Open</x:v>
      </x:c>
      <x:c r="M11" s="7" t="str"/>
      <x:c r="N11" s="7" t="str"/>
    </x:row>
    <x:row r="12">
      <x:c r="A12" s="7" t="str">
        <x:v>GAP-011</x:v>
      </x:c>
      <x:c r="B12" s="7" t="str">
        <x:v>Viewer</x:v>
      </x:c>
      <x:c r="C12" s="7" t="str">
        <x:v>P1</x:v>
      </x:c>
      <x:c r="D12" s="7" t="str">
        <x:v>High</x:v>
      </x:c>
      <x:c r="E12" s="7" t="str">
        <x:v>Motion</x:v>
      </x:c>
      <x:c r="F12" s="7" t="str">
        <x:v>Use site with reduced-motion preference</x:v>
      </x:c>
      <x:c r="G12" s="7" t="str">
        <x:v>Background motion/entrance animations are prominent; source audit does not establish global prefers-reduced-motion behavior.</x:v>
      </x:c>
      <x:c r="H12" s="7" t="str">
        <x:v>Add prefers-reduced-motion fallback for public templates and previews.</x:v>
      </x:c>
      <x:c r="I12" s="7" t="str">
        <x:v>User control/accessibility</x:v>
      </x:c>
      <x:c r="J12" s="7" t="str">
        <x:v>R03</x:v>
      </x:c>
      <x:c r="K12" s="7" t="str"/>
      <x:c r="L12" s="7" t="str">
        <x:v>Open</x:v>
      </x:c>
      <x:c r="M12" s="7" t="str"/>
      <x:c r="N12" s="7" t="str"/>
    </x:row>
    <x:row r="13">
      <x:c r="A13" s="7" t="str">
        <x:v>GAP-012</x:v>
      </x:c>
      <x:c r="B13" s="7" t="str">
        <x:v>Customer</x:v>
      </x:c>
      <x:c r="C13" s="7" t="str">
        <x:v>P0</x:v>
      </x:c>
      <x:c r="D13" s="7" t="str">
        <x:v>Critical</x:v>
      </x:c>
      <x:c r="E13" s="7" t="str">
        <x:v>Role Language</x:v>
      </x:c>
      <x:c r="F13" s="7" t="str">
        <x:v>Recognize own role and navigation</x:v>
      </x:c>
      <x:c r="G13" s="7" t="str">
        <x:v>Backend/UI primarily calls the role 'User'; requested product language is 'Customer'.</x:v>
      </x:c>
      <x:c r="H13" s="7" t="str">
        <x:v>Rename customer-facing role/UI from User to Customer while keeping internal role IDs stable.</x:v>
      </x:c>
      <x:c r="I13" s="7" t="str">
        <x:v>Match real world; consistency</x:v>
      </x:c>
      <x:c r="J13" s="7" t="str">
        <x:v>R01</x:v>
      </x:c>
      <x:c r="K13" s="7" t="str"/>
      <x:c r="L13" s="7" t="str">
        <x:v>Open</x:v>
      </x:c>
      <x:c r="M13" s="7" t="str"/>
      <x:c r="N13" s="7" t="str"/>
    </x:row>
    <x:row r="14">
      <x:c r="A14" s="7" t="str">
        <x:v>GAP-013</x:v>
      </x:c>
      <x:c r="B14" s="7" t="str">
        <x:v>Customer</x:v>
      </x:c>
      <x:c r="C14" s="7" t="str">
        <x:v>P0</x:v>
      </x:c>
      <x:c r="D14" s="7" t="str">
        <x:v>Critical</x:v>
      </x:c>
      <x:c r="E14" s="7" t="str">
        <x:v>Login</x:v>
      </x:c>
      <x:c r="F14" s="7" t="str">
        <x:v>Sign in without internal/debug information</x:v>
      </x:c>
      <x:c r="G14" s="7" t="str">
        <x:v>Login pre-fills admin/admin and displays Superadmin hints/default credentials.</x:v>
      </x:c>
      <x:c r="H14" s="7" t="str">
        <x:v>Remove default admin credentials and database wording from non-local development builds.</x:v>
      </x:c>
      <x:c r="I14" s="7" t="str">
        <x:v>Minimalist design; security trust</x:v>
      </x:c>
      <x:c r="J14" s="7" t="str">
        <x:v>R01,R03</x:v>
      </x:c>
      <x:c r="K14" s="7" t="str"/>
      <x:c r="L14" s="7" t="str">
        <x:v>Open</x:v>
      </x:c>
      <x:c r="M14" s="7" t="str"/>
      <x:c r="N14" s="7" t="str"/>
    </x:row>
    <x:row r="15">
      <x:c r="A15" s="7" t="str">
        <x:v>GAP-014</x:v>
      </x:c>
      <x:c r="B15" s="7" t="str">
        <x:v>Customer</x:v>
      </x:c>
      <x:c r="C15" s="7" t="str">
        <x:v>P0</x:v>
      </x:c>
      <x:c r="D15" s="7" t="str">
        <x:v>High</x:v>
      </x:c>
      <x:c r="E15" s="7" t="str">
        <x:v>Email Verification</x:v>
      </x:c>
      <x:c r="F15" s="7" t="str">
        <x:v>Understand verification and recover if email is delayed</x:v>
      </x:c>
      <x:c r="G15" s="7" t="str">
        <x:v>Verification page exists; localhost exposes dev verification helper.</x:v>
      </x:c>
      <x:c r="H15" s="7" t="str">
        <x:v>Add production resend email, change-email and expired-token recovery; hide dev helper.</x:v>
      </x:c>
      <x:c r="I15" s="7" t="str">
        <x:v>Error recovery; accessible auth</x:v>
      </x:c>
      <x:c r="J15" s="7" t="str">
        <x:v>R01,R03</x:v>
      </x:c>
      <x:c r="K15" s="7" t="str"/>
      <x:c r="L15" s="7" t="str">
        <x:v>Open</x:v>
      </x:c>
      <x:c r="M15" s="7" t="str"/>
      <x:c r="N15" s="7" t="str"/>
    </x:row>
    <x:row r="16">
      <x:c r="A16" s="7" t="str">
        <x:v>GAP-015</x:v>
      </x:c>
      <x:c r="B16" s="7" t="str">
        <x:v>Customer</x:v>
      </x:c>
      <x:c r="C16" s="7" t="str">
        <x:v>P1</x:v>
      </x:c>
      <x:c r="D16" s="7" t="str">
        <x:v>High</x:v>
      </x:c>
      <x:c r="E16" s="7" t="str">
        <x:v>First Login</x:v>
      </x:c>
      <x:c r="F16" s="7" t="str">
        <x:v>Know what to do after first login</x:v>
      </x:c>
      <x:c r="G16" s="7" t="str">
        <x:v>No dedicated first-run onboarding/checklist is evident.</x:v>
      </x:c>
      <x:c r="H16" s="7" t="str">
        <x:v>Add onboarding checklist: choose/purchased template → content → guest list → preview → publish.</x:v>
      </x:c>
      <x:c r="I16" s="7" t="str">
        <x:v>Recognition rather than recall</x:v>
      </x:c>
      <x:c r="J16" s="7" t="str">
        <x:v>R01</x:v>
      </x:c>
      <x:c r="K16" s="7" t="str"/>
      <x:c r="L16" s="7" t="str">
        <x:v>Open</x:v>
      </x:c>
      <x:c r="M16" s="7" t="str"/>
      <x:c r="N16" s="7" t="str"/>
    </x:row>
    <x:row r="17">
      <x:c r="A17" s="7" t="str">
        <x:v>GAP-016</x:v>
      </x:c>
      <x:c r="B17" s="7" t="str">
        <x:v>Customer</x:v>
      </x:c>
      <x:c r="C17" s="7" t="str">
        <x:v>P1</x:v>
      </x:c>
      <x:c r="D17" s="7" t="str">
        <x:v>Medium</x:v>
      </x:c>
      <x:c r="E17" s="7" t="str">
        <x:v>Overview</x:v>
      </x:c>
      <x:c r="F17" s="7" t="str">
        <x:v>Understand wedding site health and next action</x:v>
      </x:c>
      <x:c r="G17" s="7" t="str">
        <x:v>Dashboard focuses on active Canvas and RSVP metrics.</x:v>
      </x:c>
      <x:c r="H17" s="7" t="str">
        <x:v>Add overall Website/Project status above per-Canvas metrics.</x:v>
      </x:c>
      <x:c r="I17" s="7" t="str">
        <x:v>Visibility of status</x:v>
      </x:c>
      <x:c r="J17" s="7" t="str">
        <x:v>R01</x:v>
      </x:c>
      <x:c r="K17" s="7" t="str"/>
      <x:c r="L17" s="7" t="str">
        <x:v>Open</x:v>
      </x:c>
      <x:c r="M17" s="7" t="str"/>
      <x:c r="N17" s="7" t="str"/>
    </x:row>
    <x:row r="18">
      <x:c r="A18" s="7" t="str">
        <x:v>GAP-017</x:v>
      </x:c>
      <x:c r="B18" s="7" t="str">
        <x:v>Customer</x:v>
      </x:c>
      <x:c r="C18" s="7" t="str">
        <x:v>P0</x:v>
      </x:c>
      <x:c r="D18" s="7" t="str">
        <x:v>Critical</x:v>
      </x:c>
      <x:c r="E18" s="7" t="str">
        <x:v>Completeness</x:v>
      </x:c>
      <x:c r="F18" s="7" t="str">
        <x:v>Trust the displayed completeness percentage</x:v>
      </x:c>
      <x:c r="G18" s="7" t="str">
        <x:v>Canvas completeness is calculated as 35 + feature count × 8, capped at 100.</x:v>
      </x:c>
      <x:c r="H18" s="7" t="str">
        <x:v>Replace with explicit checklist-based completeness (title, cover, event, location, RSVP, guest list, publish).</x:v>
      </x:c>
      <x:c r="I18" s="7" t="str">
        <x:v>Trustworthy system status</x:v>
      </x:c>
      <x:c r="J18" s="7" t="str">
        <x:v>R01</x:v>
      </x:c>
      <x:c r="K18" s="7" t="str"/>
      <x:c r="L18" s="7" t="str">
        <x:v>Open</x:v>
      </x:c>
      <x:c r="M18" s="7" t="str"/>
      <x:c r="N18" s="7" t="str"/>
    </x:row>
    <x:row r="19">
      <x:c r="A19" s="7" t="str">
        <x:v>GAP-018</x:v>
      </x:c>
      <x:c r="B19" s="7" t="str">
        <x:v>Customer</x:v>
      </x:c>
      <x:c r="C19" s="7" t="str">
        <x:v>P0</x:v>
      </x:c>
      <x:c r="D19" s="7" t="str">
        <x:v>Critical</x:v>
      </x:c>
      <x:c r="E19" s="7" t="str">
        <x:v>Order History</x:v>
      </x:c>
      <x:c r="F19" s="7" t="str">
        <x:v>Track own purchased template and project status</x:v>
      </x:c>
      <x:c r="G19" s="7" t="str">
        <x:v>role_user has orders.create but no orders.view; no Customer order/project page is rendered.</x:v>
      </x:c>
      <x:c r="H19" s="7" t="str">
        <x:v>Add My Orders / Project Timeline with payment, assignment, task milestones, receipt and support thread.</x:v>
      </x:c>
      <x:c r="I19" s="7" t="str">
        <x:v>Visibility; continuity</x:v>
      </x:c>
      <x:c r="J19" s="7" t="str">
        <x:v>R01,R02</x:v>
      </x:c>
      <x:c r="K19" s="7" t="str"/>
      <x:c r="L19" s="7" t="str">
        <x:v>Open</x:v>
      </x:c>
      <x:c r="M19" s="7" t="str"/>
      <x:c r="N19" s="7" t="str"/>
    </x:row>
    <x:row r="20">
      <x:c r="A20" s="7" t="str">
        <x:v>GAP-019</x:v>
      </x:c>
      <x:c r="B20" s="7" t="str">
        <x:v>Customer</x:v>
      </x:c>
      <x:c r="C20" s="7" t="str">
        <x:v>P0</x:v>
      </x:c>
      <x:c r="D20" s="7" t="str">
        <x:v>High</x:v>
      </x:c>
      <x:c r="E20" s="7" t="str">
        <x:v>Use Template</x:v>
      </x:c>
      <x:c r="F20" s="7" t="str">
        <x:v>Apply a template without destroying current work</x:v>
      </x:c>
      <x:c r="G20" s="7" t="str">
        <x:v>Flow creates new Canvas structures and has duplicate-opening guard.</x:v>
      </x:c>
      <x:c r="H20" s="7" t="str">
        <x:v>Add pre-action summary and undo/revert after applying template.</x:v>
      </x:c>
      <x:c r="I20" s="7" t="str">
        <x:v>Error prevention; user control</x:v>
      </x:c>
      <x:c r="J20" s="7" t="str">
        <x:v>R01</x:v>
      </x:c>
      <x:c r="K20" s="7" t="str"/>
      <x:c r="L20" s="7" t="str">
        <x:v>Open</x:v>
      </x:c>
      <x:c r="M20" s="7" t="str"/>
      <x:c r="N20" s="7" t="str"/>
    </x:row>
    <x:row r="21">
      <x:c r="A21" s="7" t="str">
        <x:v>GAP-020</x:v>
      </x:c>
      <x:c r="B21" s="7" t="str">
        <x:v>Customer</x:v>
      </x:c>
      <x:c r="C21" s="7" t="str">
        <x:v>P0</x:v>
      </x:c>
      <x:c r="D21" s="7" t="str">
        <x:v>High</x:v>
      </x:c>
      <x:c r="E21" s="7" t="str">
        <x:v>Public URL</x:v>
      </x:c>
      <x:c r="F21" s="7" t="str">
        <x:v>Choose and publish URL</x:v>
      </x:c>
      <x:c r="G21" s="7" t="str">
        <x:v>Slug is editable; Settings claims URL ready after publish.</x:v>
      </x:c>
      <x:c r="H21" s="7" t="str">
        <x:v>Perform real availability check before save and show conflicts inline.</x:v>
      </x:c>
      <x:c r="I21" s="7" t="str">
        <x:v>Error prevention</x:v>
      </x:c>
      <x:c r="J21" s="7" t="str">
        <x:v>R01</x:v>
      </x:c>
      <x:c r="K21" s="7" t="str"/>
      <x:c r="L21" s="7" t="str">
        <x:v>Open</x:v>
      </x:c>
      <x:c r="M21" s="7" t="str"/>
      <x:c r="N21" s="7" t="str"/>
    </x:row>
    <x:row r="22">
      <x:c r="A22" s="7" t="str">
        <x:v>GAP-021</x:v>
      </x:c>
      <x:c r="B22" s="7" t="str">
        <x:v>Customer</x:v>
      </x:c>
      <x:c r="C22" s="7" t="str">
        <x:v>P1</x:v>
      </x:c>
      <x:c r="D22" s="7" t="str">
        <x:v>Medium</x:v>
      </x:c>
      <x:c r="E22" s="7" t="str">
        <x:v>Save</x:v>
      </x:c>
      <x:c r="F22" s="7" t="str">
        <x:v>Know whether changes are saved/published</x:v>
      </x:c>
      <x:c r="G22" s="7" t="str">
        <x:v>Site mode uses Save &amp; Publish; button shows Saved after operation.</x:v>
      </x:c>
      <x:c r="H22" s="7" t="str">
        <x:v>Separate Save Draft from Publish for Customer if iterative editing is expected.</x:v>
      </x:c>
      <x:c r="I22" s="7" t="str">
        <x:v>Visibility; user control</x:v>
      </x:c>
      <x:c r="J22" s="7" t="str">
        <x:v>R01</x:v>
      </x:c>
      <x:c r="K22" s="7" t="str"/>
      <x:c r="L22" s="7" t="str">
        <x:v>Open</x:v>
      </x:c>
      <x:c r="M22" s="7" t="str"/>
      <x:c r="N22" s="7" t="str"/>
    </x:row>
    <x:row r="23">
      <x:c r="A23" s="7" t="str">
        <x:v>GAP-022</x:v>
      </x:c>
      <x:c r="B23" s="7" t="str">
        <x:v>Customer</x:v>
      </x:c>
      <x:c r="C23" s="7" t="str">
        <x:v>P0</x:v>
      </x:c>
      <x:c r="D23" s="7" t="str">
        <x:v>Critical</x:v>
      </x:c>
      <x:c r="E23" s="7" t="str">
        <x:v>Autosave &amp; Recovery</x:v>
      </x:c>
      <x:c r="F23" s="7" t="str">
        <x:v>Avoid losing work during long editing sessions</x:v>
      </x:c>
      <x:c r="G23" s="7" t="str">
        <x:v>Current editor relies on manual save plus Leave Save/Discard prompt; no revision history.</x:v>
      </x:c>
      <x:c r="H23" s="7" t="str">
        <x:v>Add autosave snapshots, undo/redo and revision history for site/template content.</x:v>
      </x:c>
      <x:c r="I23" s="7" t="str">
        <x:v>Error recovery; authoring safety</x:v>
      </x:c>
      <x:c r="J23" s="7" t="str">
        <x:v>R13,R14,R01</x:v>
      </x:c>
      <x:c r="K23" s="7" t="str"/>
      <x:c r="L23" s="7" t="str">
        <x:v>Open</x:v>
      </x:c>
      <x:c r="M23" s="7" t="str"/>
      <x:c r="N23" s="7" t="str"/>
    </x:row>
    <x:row r="24">
      <x:c r="A24" s="7" t="str">
        <x:v>GAP-023</x:v>
      </x:c>
      <x:c r="B24" s="7" t="str">
        <x:v>Customer</x:v>
      </x:c>
      <x:c r="C24" s="7" t="str">
        <x:v>P1</x:v>
      </x:c>
      <x:c r="D24" s="7" t="str">
        <x:v>Medium</x:v>
      </x:c>
      <x:c r="E24" s="7" t="str">
        <x:v>Columns</x:v>
      </x:c>
      <x:c r="F24" s="7" t="str">
        <x:v>Configure 1–4 columns</x:v>
      </x:c>
      <x:c r="G24" s="7" t="str">
        <x:v>1–4 column control exists; removed-column features are moved.</x:v>
      </x:c>
      <x:c r="H24" s="7" t="str">
        <x:v>Show explicit warning/preview when reducing columns and where features will move.</x:v>
      </x:c>
      <x:c r="I24" s="7" t="str">
        <x:v>Error prevention</x:v>
      </x:c>
      <x:c r="J24" s="7" t="str">
        <x:v>R01</x:v>
      </x:c>
      <x:c r="K24" s="7" t="str"/>
      <x:c r="L24" s="7" t="str">
        <x:v>Open</x:v>
      </x:c>
      <x:c r="M24" s="7" t="str"/>
      <x:c r="N24" s="7" t="str"/>
    </x:row>
    <x:row r="25">
      <x:c r="A25" s="7" t="str">
        <x:v>GAP-024</x:v>
      </x:c>
      <x:c r="B25" s="7" t="str">
        <x:v>Customer</x:v>
      </x:c>
      <x:c r="C25" s="7" t="str">
        <x:v>P1</x:v>
      </x:c>
      <x:c r="D25" s="7" t="str">
        <x:v>Medium</x:v>
      </x:c>
      <x:c r="E25" s="7" t="str">
        <x:v>Background</x:v>
      </x:c>
      <x:c r="F25" s="7" t="str">
        <x:v>Use solid/gradient/image/effects</x:v>
      </x:c>
      <x:c r="G25" s="7" t="str">
        <x:v>Solid, gradient, image, repeat and motion options exist.</x:v>
      </x:c>
      <x:c r="H25" s="7" t="str">
        <x:v>Add clear Reset Background and reduced-motion preview.</x:v>
      </x:c>
      <x:c r="I25" s="7" t="str">
        <x:v>User control</x:v>
      </x:c>
      <x:c r="J25" s="7" t="str">
        <x:v>R01,R03</x:v>
      </x:c>
      <x:c r="K25" s="7" t="str"/>
      <x:c r="L25" s="7" t="str">
        <x:v>Open</x:v>
      </x:c>
      <x:c r="M25" s="7" t="str"/>
      <x:c r="N25" s="7" t="str"/>
    </x:row>
    <x:row r="26">
      <x:c r="A26" s="7" t="str">
        <x:v>GAP-025</x:v>
      </x:c>
      <x:c r="B26" s="7" t="str">
        <x:v>Customer</x:v>
      </x:c>
      <x:c r="C26" s="7" t="str">
        <x:v>P1</x:v>
      </x:c>
      <x:c r="D26" s="7" t="str">
        <x:v>Medium</x:v>
      </x:c>
      <x:c r="E26" s="7" t="str">
        <x:v>Gallery</x:v>
      </x:c>
      <x:c r="F26" s="7" t="str">
        <x:v>Add/delete/reorder photos</x:v>
      </x:c>
      <x:c r="G26" s="7" t="str">
        <x:v>Add/delete and carousel/full-width controls exist.</x:v>
      </x:c>
      <x:c r="H26" s="7" t="str">
        <x:v>Add explicit reorder UX, upload progress and per-image alt text.</x:v>
      </x:c>
      <x:c r="I26" s="7" t="str">
        <x:v>Visibility; accessibility</x:v>
      </x:c>
      <x:c r="J26" s="7" t="str">
        <x:v>R01,R03</x:v>
      </x:c>
      <x:c r="K26" s="7" t="str"/>
      <x:c r="L26" s="7" t="str">
        <x:v>Open</x:v>
      </x:c>
      <x:c r="M26" s="7" t="str"/>
      <x:c r="N26" s="7" t="str"/>
    </x:row>
    <x:row r="27">
      <x:c r="A27" s="7" t="str">
        <x:v>GAP-026</x:v>
      </x:c>
      <x:c r="B27" s="7" t="str">
        <x:v>Customer</x:v>
      </x:c>
      <x:c r="C27" s="7" t="str">
        <x:v>P1</x:v>
      </x:c>
      <x:c r="D27" s="7" t="str">
        <x:v>Medium</x:v>
      </x:c>
      <x:c r="E27" s="7" t="str">
        <x:v>Sound</x:v>
      </x:c>
      <x:c r="F27" s="7" t="str">
        <x:v>Choose/upload and preview sound</x:v>
      </x:c>
      <x:c r="G27" s="7" t="str">
        <x:v>Sound feature supports upload/library and fixed public disc player.</x:v>
      </x:c>
      <x:c r="H27" s="7" t="str">
        <x:v>Add waveform/duration/filename and upload progress; clarify browser autoplay limits.</x:v>
      </x:c>
      <x:c r="I27" s="7" t="str">
        <x:v>Visibility; user control</x:v>
      </x:c>
      <x:c r="J27" s="7" t="str">
        <x:v>R01</x:v>
      </x:c>
      <x:c r="K27" s="7" t="str"/>
      <x:c r="L27" s="7" t="str">
        <x:v>Open</x:v>
      </x:c>
      <x:c r="M27" s="7" t="str"/>
      <x:c r="N27" s="7" t="str"/>
    </x:row>
    <x:row r="28">
      <x:c r="A28" s="7" t="str">
        <x:v>GAP-027</x:v>
      </x:c>
      <x:c r="B28" s="7" t="str">
        <x:v>Customer</x:v>
      </x:c>
      <x:c r="C28" s="7" t="str">
        <x:v>P1</x:v>
      </x:c>
      <x:c r="D28" s="7" t="str">
        <x:v>Medium</x:v>
      </x:c>
      <x:c r="E28" s="7" t="str">
        <x:v>CSV Import</x:v>
      </x:c>
      <x:c r="F28" s="7" t="str">
        <x:v>Import guest list safely</x:v>
      </x:c>
      <x:c r="G28" s="7" t="str">
        <x:v>CSV import exists with format validation.</x:v>
      </x:c>
      <x:c r="H28" s="7" t="str">
        <x:v>Add import preview + error report before final insert.</x:v>
      </x:c>
      <x:c r="I28" s="7" t="str">
        <x:v>Error prevention</x:v>
      </x:c>
      <x:c r="J28" s="7" t="str">
        <x:v>R01</x:v>
      </x:c>
      <x:c r="K28" s="7" t="str"/>
      <x:c r="L28" s="7" t="str">
        <x:v>Open</x:v>
      </x:c>
      <x:c r="M28" s="7" t="str"/>
      <x:c r="N28" s="7" t="str"/>
    </x:row>
    <x:row r="29">
      <x:c r="A29" s="7" t="str">
        <x:v>GAP-028</x:v>
      </x:c>
      <x:c r="B29" s="7" t="str">
        <x:v>Customer</x:v>
      </x:c>
      <x:c r="C29" s="7" t="str">
        <x:v>P1</x:v>
      </x:c>
      <x:c r="D29" s="7" t="str">
        <x:v>Medium</x:v>
      </x:c>
      <x:c r="E29" s="7" t="str">
        <x:v>Live Chat</x:v>
      </x:c>
      <x:c r="F29" s="7" t="str">
        <x:v>Contact support and see replies</x:v>
      </x:c>
      <x:c r="G29" s="7" t="str">
        <x:v>User chat is database-backed and persists.</x:v>
      </x:c>
      <x:c r="H29" s="7" t="str">
        <x:v>Add unread reply badge, timestamp grouping and failure/retry states.</x:v>
      </x:c>
      <x:c r="I29" s="7" t="str">
        <x:v>Visibility; consistent help</x:v>
      </x:c>
      <x:c r="J29" s="7" t="str">
        <x:v>R01,R03</x:v>
      </x:c>
      <x:c r="K29" s="7" t="str"/>
      <x:c r="L29" s="7" t="str">
        <x:v>Open</x:v>
      </x:c>
      <x:c r="M29" s="7" t="str"/>
      <x:c r="N29" s="7" t="str"/>
    </x:row>
    <x:row r="30">
      <x:c r="A30" s="7" t="str">
        <x:v>GAP-029</x:v>
      </x:c>
      <x:c r="B30" s="7" t="str">
        <x:v>Customer</x:v>
      </x:c>
      <x:c r="C30" s="7" t="str">
        <x:v>P0</x:v>
      </x:c>
      <x:c r="D30" s="7" t="str">
        <x:v>High</x:v>
      </x:c>
      <x:c r="E30" s="7" t="str">
        <x:v>Profile</x:v>
      </x:c>
      <x:c r="F30" s="7" t="str">
        <x:v>Change first name, last name, email and password</x:v>
      </x:c>
      <x:c r="G30" s="7" t="str">
        <x:v>Account Settings modal supports these fields.</x:v>
      </x:c>
      <x:c r="H30" s="7" t="str">
        <x:v>Require current password/re-authentication for sensitive password/email changes in production.</x:v>
      </x:c>
      <x:c r="I30" s="7" t="str">
        <x:v>Error prevention; security UX</x:v>
      </x:c>
      <x:c r="J30" s="7" t="str">
        <x:v>R03</x:v>
      </x:c>
      <x:c r="K30" s="7" t="str"/>
      <x:c r="L30" s="7" t="str">
        <x:v>Open</x:v>
      </x:c>
      <x:c r="M30" s="7" t="str"/>
      <x:c r="N30" s="7" t="str"/>
    </x:row>
    <x:row r="31">
      <x:c r="A31" s="7" t="str">
        <x:v>GAP-030</x:v>
      </x:c>
      <x:c r="B31" s="7" t="str">
        <x:v>Customer</x:v>
      </x:c>
      <x:c r="C31" s="7" t="str">
        <x:v>P0</x:v>
      </x:c>
      <x:c r="D31" s="7" t="str">
        <x:v>Critical</x:v>
      </x:c>
      <x:c r="E31" s="7" t="str">
        <x:v>Settings Navigation</x:v>
      </x:c>
      <x:c r="F31" s="7" t="str">
        <x:v>Use General, Notifications, Domain and Privacy sections</x:v>
      </x:c>
      <x:c r="G31" s="7" t="str">
        <x:v>Settings shows General/Notifications/Domain/Privacy buttons, but only General is active and buttons have no switching behavior.</x:v>
      </x:c>
      <x:c r="H31" s="7" t="str">
        <x:v>Implement tabs fully or hide unavailable tabs until functional.</x:v>
      </x:c>
      <x:c r="I31" s="7" t="str">
        <x:v>Consistency; avoid dead controls</x:v>
      </x:c>
      <x:c r="J31" s="7" t="str">
        <x:v>R01</x:v>
      </x:c>
      <x:c r="K31" s="7" t="str"/>
      <x:c r="L31" s="7" t="str">
        <x:v>Open</x:v>
      </x:c>
      <x:c r="M31" s="7" t="str"/>
      <x:c r="N31" s="7" t="str"/>
    </x:row>
    <x:row r="32">
      <x:c r="A32" s="7" t="str">
        <x:v>GAP-031</x:v>
      </x:c>
      <x:c r="B32" s="7" t="str">
        <x:v>Customer</x:v>
      </x:c>
      <x:c r="C32" s="7" t="str">
        <x:v>P1</x:v>
      </x:c>
      <x:c r="D32" s="7" t="str">
        <x:v>Medium</x:v>
      </x:c>
      <x:c r="E32" s="7" t="str">
        <x:v>Help Center</x:v>
      </x:c>
      <x:c r="F32" s="7" t="str">
        <x:v>Find help for current task</x:v>
      </x:c>
      <x:c r="G32" s="7" t="str">
        <x:v>Help Center exists and Live Chat is globally available.</x:v>
      </x:c>
      <x:c r="H32" s="7" t="str">
        <x:v>Context-link help topics from editor/checkout and rename User→Customer, Editor→Web Designer.</x:v>
      </x:c>
      <x:c r="I32" s="7" t="str">
        <x:v>Consistent help; real-world language</x:v>
      </x:c>
      <x:c r="J32" s="7" t="str">
        <x:v>R03,R01</x:v>
      </x:c>
      <x:c r="K32" s="7" t="str"/>
      <x:c r="L32" s="7" t="str">
        <x:v>Open</x:v>
      </x:c>
      <x:c r="M32" s="7" t="str"/>
      <x:c r="N32" s="7" t="str"/>
    </x:row>
    <x:row r="33">
      <x:c r="A33" s="7" t="str">
        <x:v>GAP-032</x:v>
      </x:c>
      <x:c r="B33" s="7" t="str">
        <x:v>Customer</x:v>
      </x:c>
      <x:c r="C33" s="7" t="str">
        <x:v>P0</x:v>
      </x:c>
      <x:c r="D33" s="7" t="str">
        <x:v>High</x:v>
      </x:c>
      <x:c r="E33" s="7" t="str">
        <x:v>Own Data</x:v>
      </x:c>
      <x:c r="F33" s="7" t="str">
        <x:v>Never see/edit another Customer's website/order</x:v>
      </x:c>
      <x:c r="G33" s="7" t="str">
        <x:v>Backend has canvas.manage.own and site ownership handling; Customer lacks general orders.view.</x:v>
      </x:c>
      <x:c r="H33" s="7" t="str">
        <x:v>Add own-order endpoint/page without granting broad orders.view; pen-test object-level authorization.</x:v>
      </x:c>
      <x:c r="I33" s="7" t="str">
        <x:v>Least privilege</x:v>
      </x:c>
      <x:c r="J33" s="7" t="str">
        <x:v>R15,R16</x:v>
      </x:c>
      <x:c r="K33" s="7" t="str"/>
      <x:c r="L33" s="7" t="str">
        <x:v>Open</x:v>
      </x:c>
      <x:c r="M33" s="7" t="str"/>
      <x:c r="N33" s="7" t="str"/>
    </x:row>
    <x:row r="34">
      <x:c r="A34" s="7" t="str">
        <x:v>GAP-033</x:v>
      </x:c>
      <x:c r="B34" s="7" t="str">
        <x:v>Web Designer</x:v>
      </x:c>
      <x:c r="C34" s="7" t="str">
        <x:v>P0</x:v>
      </x:c>
      <x:c r="D34" s="7" t="str">
        <x:v>Critical</x:v>
      </x:c>
      <x:c r="E34" s="7" t="str">
        <x:v>Role Language</x:v>
      </x:c>
      <x:c r="F34" s="7" t="str">
        <x:v>Recognize professional role consistently</x:v>
      </x:c>
      <x:c r="G34" s="7" t="str">
        <x:v>System role and many labels still use 'Editor'; requested role is 'Web Designer'.</x:v>
      </x:c>
      <x:c r="H34" s="7" t="str">
        <x:v>Rename visible role/menu copy to Web Designer; preserve role_editor internally.</x:v>
      </x:c>
      <x:c r="I34" s="7" t="str">
        <x:v>Consistency; real-world language</x:v>
      </x:c>
      <x:c r="J34" s="7" t="str">
        <x:v>R01</x:v>
      </x:c>
      <x:c r="K34" s="7" t="str"/>
      <x:c r="L34" s="7" t="str">
        <x:v>Open</x:v>
      </x:c>
      <x:c r="M34" s="7" t="str"/>
      <x:c r="N34" s="7" t="str"/>
    </x:row>
    <x:row r="35">
      <x:c r="A35" s="7" t="str">
        <x:v>GAP-034</x:v>
      </x:c>
      <x:c r="B35" s="7" t="str">
        <x:v>Web Designer</x:v>
      </x:c>
      <x:c r="C35" s="7" t="str">
        <x:v>P1</x:v>
      </x:c>
      <x:c r="D35" s="7" t="str">
        <x:v>Medium</x:v>
      </x:c>
      <x:c r="E35" s="7" t="str">
        <x:v>Work Queue</x:v>
      </x:c>
      <x:c r="F35" s="7" t="str">
        <x:v>See assigned customers and next work</x:v>
      </x:c>
      <x:c r="G35" s="7" t="str">
        <x:v>Dashboard shows assigned users, managed canvas count, template library and support count.</x:v>
      </x:c>
      <x:c r="H35" s="7" t="str">
        <x:v>Add My Tasks summary with status/due date and pending approval/rejection alerts above generic metrics.</x:v>
      </x:c>
      <x:c r="I35" s="7" t="str">
        <x:v>Visibility; efficiency</x:v>
      </x:c>
      <x:c r="J35" s="7" t="str">
        <x:v>R01</x:v>
      </x:c>
      <x:c r="K35" s="7" t="str"/>
      <x:c r="L35" s="7" t="str">
        <x:v>Open</x:v>
      </x:c>
      <x:c r="M35" s="7" t="str"/>
      <x:c r="N35" s="7" t="str"/>
    </x:row>
    <x:row r="36">
      <x:c r="A36" s="7" t="str">
        <x:v>GAP-035</x:v>
      </x:c>
      <x:c r="B36" s="7" t="str">
        <x:v>Web Designer</x:v>
      </x:c>
      <x:c r="C36" s="7" t="str">
        <x:v>P1</x:v>
      </x:c>
      <x:c r="D36" s="7" t="str">
        <x:v>Medium</x:v>
      </x:c>
      <x:c r="E36" s="7" t="str">
        <x:v>Assignment</x:v>
      </x:c>
      <x:c r="F36" s="7" t="str">
        <x:v>See only clients relevant to designer</x:v>
      </x:c>
      <x:c r="G36" s="7" t="str">
        <x:v>ClientManagement exists; assignment model is persisted server-side.</x:v>
      </x:c>
      <x:c r="H36" s="7" t="str">
        <x:v>Default to 'My Clients'; put unassigned pool behind explicit Assign action/filter.</x:v>
      </x:c>
      <x:c r="I36" s="7" t="str">
        <x:v>Least privilege; efficiency</x:v>
      </x:c>
      <x:c r="J36" s="7" t="str">
        <x:v>R15,R16</x:v>
      </x:c>
      <x:c r="K36" s="7" t="str"/>
      <x:c r="L36" s="7" t="str">
        <x:v>Open</x:v>
      </x:c>
      <x:c r="M36" s="7" t="str"/>
      <x:c r="N36" s="7" t="str"/>
    </x:row>
    <x:row r="37">
      <x:c r="A37" s="7" t="str">
        <x:v>GAP-036</x:v>
      </x:c>
      <x:c r="B37" s="7" t="str">
        <x:v>Web Designer</x:v>
      </x:c>
      <x:c r="C37" s="7" t="str">
        <x:v>P0</x:v>
      </x:c>
      <x:c r="D37" s="7" t="str">
        <x:v>High</x:v>
      </x:c>
      <x:c r="E37" s="7" t="str">
        <x:v>Manage Site</x:v>
      </x:c>
      <x:c r="F37" s="7" t="str">
        <x:v>Open the correct customer's site</x:v>
      </x:c>
      <x:c r="G37" s="7" t="str">
        <x:v>v0.12 hardened site ownership/assignment paths.</x:v>
      </x:c>
      <x:c r="H37" s="7" t="str">
        <x:v>Keep customer name/avatar persistent in editor header and confirm before switching with unsaved changes.</x:v>
      </x:c>
      <x:c r="I37" s="7" t="str">
        <x:v>Error prevention</x:v>
      </x:c>
      <x:c r="J37" s="7" t="str">
        <x:v>R01</x:v>
      </x:c>
      <x:c r="K37" s="7" t="str"/>
      <x:c r="L37" s="7" t="str">
        <x:v>Open</x:v>
      </x:c>
      <x:c r="M37" s="7" t="str"/>
      <x:c r="N37" s="7" t="str"/>
    </x:row>
    <x:row r="38">
      <x:c r="A38" s="7" t="str">
        <x:v>GAP-037</x:v>
      </x:c>
      <x:c r="B38" s="7" t="str">
        <x:v>Web Designer</x:v>
      </x:c>
      <x:c r="C38" s="7" t="str">
        <x:v>P1</x:v>
      </x:c>
      <x:c r="D38" s="7" t="str">
        <x:v>Medium</x:v>
      </x:c>
      <x:c r="E38" s="7" t="str">
        <x:v>Metadata</x:v>
      </x:c>
      <x:c r="F38" s="7" t="str">
        <x:v>Set name, category, price and description</x:v>
      </x:c>
      <x:c r="G38" s="7" t="str">
        <x:v>Template creator captures metadata including price and description.</x:v>
      </x:c>
      <x:c r="H38" s="7" t="str">
        <x:v>Validate price &gt;0/business rule, preview image and required description before Submit for Approval.</x:v>
      </x:c>
      <x:c r="I38" s="7" t="str">
        <x:v>Error prevention</x:v>
      </x:c>
      <x:c r="J38" s="7" t="str">
        <x:v>R01</x:v>
      </x:c>
      <x:c r="K38" s="7" t="str"/>
      <x:c r="L38" s="7" t="str">
        <x:v>Open</x:v>
      </x:c>
      <x:c r="M38" s="7" t="str"/>
      <x:c r="N38" s="7" t="str"/>
    </x:row>
    <x:row r="39">
      <x:c r="A39" s="7" t="str">
        <x:v>GAP-038</x:v>
      </x:c>
      <x:c r="B39" s="7" t="str">
        <x:v>Web Designer</x:v>
      </x:c>
      <x:c r="C39" s="7" t="str">
        <x:v>P1</x:v>
      </x:c>
      <x:c r="D39" s="7" t="str">
        <x:v>Medium</x:v>
      </x:c>
      <x:c r="E39" s="7" t="str">
        <x:v>Rejection</x:v>
      </x:c>
      <x:c r="F39" s="7" t="str">
        <x:v>Understand why approval was rejected</x:v>
      </x:c>
      <x:c r="G39" s="7" t="str">
        <x:v>Decision note/email path exists in approval backend.</x:v>
      </x:c>
      <x:c r="H39" s="7" t="str">
        <x:v>Expose feedback prominently in Designer template list and deep-link to Edit &amp; Resubmit.</x:v>
      </x:c>
      <x:c r="I39" s="7" t="str">
        <x:v>Error recovery</x:v>
      </x:c>
      <x:c r="J39" s="7" t="str">
        <x:v>R01</x:v>
      </x:c>
      <x:c r="K39" s="7" t="str"/>
      <x:c r="L39" s="7" t="str">
        <x:v>Open</x:v>
      </x:c>
      <x:c r="M39" s="7" t="str"/>
      <x:c r="N39" s="7" t="str"/>
    </x:row>
    <x:row r="40">
      <x:c r="A40" s="7" t="str">
        <x:v>GAP-039</x:v>
      </x:c>
      <x:c r="B40" s="7" t="str">
        <x:v>Web Designer</x:v>
      </x:c>
      <x:c r="C40" s="7" t="str">
        <x:v>P0</x:v>
      </x:c>
      <x:c r="D40" s="7" t="str">
        <x:v>High</x:v>
      </x:c>
      <x:c r="E40" s="7" t="str">
        <x:v>Preview</x:v>
      </x:c>
      <x:c r="F40" s="7" t="str">
        <x:v>Preview actual template before submission</x:v>
      </x:c>
      <x:c r="G40" s="7" t="str">
        <x:v>Editor preview renders current sections; public template journey preview remains generic.</x:v>
      </x:c>
      <x:c r="H40" s="7" t="str">
        <x:v>Add approval preview using exact template canvas and responsive modes.</x:v>
      </x:c>
      <x:c r="I40" s="7" t="str">
        <x:v>Accurate system feedback</x:v>
      </x:c>
      <x:c r="J40" s="7" t="str">
        <x:v>R01</x:v>
      </x:c>
      <x:c r="K40" s="7" t="str"/>
      <x:c r="L40" s="7" t="str">
        <x:v>Open</x:v>
      </x:c>
      <x:c r="M40" s="7" t="str"/>
      <x:c r="N40" s="7" t="str"/>
    </x:row>
    <x:row r="41">
      <x:c r="A41" s="7" t="str">
        <x:v>GAP-040</x:v>
      </x:c>
      <x:c r="B41" s="7" t="str">
        <x:v>Web Designer</x:v>
      </x:c>
      <x:c r="C41" s="7" t="str">
        <x:v>P1</x:v>
      </x:c>
      <x:c r="D41" s="7" t="str">
        <x:v>Medium</x:v>
      </x:c>
      <x:c r="E41" s="7" t="str">
        <x:v>Responsive Preview</x:v>
      </x:c>
      <x:c r="F41" s="7" t="str">
        <x:v>Switch desktop/mobile preview</x:v>
      </x:c>
      <x:c r="G41" s="7" t="str">
        <x:v>Desktop/mobile switch exists.</x:v>
      </x:c>
      <x:c r="H41" s="7" t="str">
        <x:v>Add tablet breakpoint and width indicator if Designer needs responsive fine-tuning.</x:v>
      </x:c>
      <x:c r="I41" s="7" t="str">
        <x:v>Visibility; efficiency</x:v>
      </x:c>
      <x:c r="J41" s="7" t="str">
        <x:v>R01</x:v>
      </x:c>
      <x:c r="K41" s="7" t="str"/>
      <x:c r="L41" s="7" t="str">
        <x:v>Open</x:v>
      </x:c>
      <x:c r="M41" s="7" t="str"/>
      <x:c r="N41" s="7" t="str"/>
    </x:row>
    <x:row r="42">
      <x:c r="A42" s="7" t="str">
        <x:v>GAP-041</x:v>
      </x:c>
      <x:c r="B42" s="7" t="str">
        <x:v>Web Designer</x:v>
      </x:c>
      <x:c r="C42" s="7" t="str">
        <x:v>P0</x:v>
      </x:c>
      <x:c r="D42" s="7" t="str">
        <x:v>Critical</x:v>
      </x:c>
      <x:c r="E42" s="7" t="str">
        <x:v>Undo / Redo</x:v>
      </x:c>
      <x:c r="F42" s="7" t="str">
        <x:v>Recover from accidental edits immediately</x:v>
      </x:c>
      <x:c r="G42" s="7" t="str">
        <x:v>No global undo/redo stack is evident.</x:v>
      </x:c>
      <x:c r="H42" s="7" t="str">
        <x:v>Implement history stack with Undo/Redo keyboard shortcuts.</x:v>
      </x:c>
      <x:c r="I42" s="7" t="str">
        <x:v>User control and freedom</x:v>
      </x:c>
      <x:c r="J42" s="7" t="str">
        <x:v>R01</x:v>
      </x:c>
      <x:c r="K42" s="7" t="str"/>
      <x:c r="L42" s="7" t="str">
        <x:v>Open</x:v>
      </x:c>
      <x:c r="M42" s="7" t="str"/>
      <x:c r="N42" s="7" t="str"/>
    </x:row>
    <x:row r="43">
      <x:c r="A43" s="7" t="str">
        <x:v>GAP-042</x:v>
      </x:c>
      <x:c r="B43" s="7" t="str">
        <x:v>Web Designer</x:v>
      </x:c>
      <x:c r="C43" s="7" t="str">
        <x:v>P0</x:v>
      </x:c>
      <x:c r="D43" s="7" t="str">
        <x:v>Critical</x:v>
      </x:c>
      <x:c r="E43" s="7" t="str">
        <x:v>Autosave</x:v>
      </x:c>
      <x:c r="F43" s="7" t="str">
        <x:v>Protect long editing sessions</x:v>
      </x:c>
      <x:c r="G43" s="7" t="str">
        <x:v>Manual save plus leave prompt exists; no periodic autosave.</x:v>
      </x:c>
      <x:c r="H43" s="7" t="str">
        <x:v>Add server-backed autosave draft and last-saved timestamp.</x:v>
      </x:c>
      <x:c r="I43" s="7" t="str">
        <x:v>Error recovery</x:v>
      </x:c>
      <x:c r="J43" s="7" t="str">
        <x:v>R14,R01</x:v>
      </x:c>
      <x:c r="K43" s="7" t="str"/>
      <x:c r="L43" s="7" t="str">
        <x:v>Open</x:v>
      </x:c>
      <x:c r="M43" s="7" t="str"/>
      <x:c r="N43" s="7" t="str"/>
    </x:row>
    <x:row r="44">
      <x:c r="A44" s="7" t="str">
        <x:v>GAP-043</x:v>
      </x:c>
      <x:c r="B44" s="7" t="str">
        <x:v>Web Designer</x:v>
      </x:c>
      <x:c r="C44" s="7" t="str">
        <x:v>P1</x:v>
      </x:c>
      <x:c r="D44" s="7" t="str">
        <x:v>High</x:v>
      </x:c>
      <x:c r="E44" s="7" t="str">
        <x:v>Version History</x:v>
      </x:c>
      <x:c r="F44" s="7" t="str">
        <x:v>Restore prior design revision</x:v>
      </x:c>
      <x:c r="G44" s="7" t="str">
        <x:v>No site/template revision history is evident.</x:v>
      </x:c>
      <x:c r="H44" s="7" t="str">
        <x:v>Add revisions for template/site canvas_json and restore workflow.</x:v>
      </x:c>
      <x:c r="I44" s="7" t="str">
        <x:v>Error recovery</x:v>
      </x:c>
      <x:c r="J44" s="7" t="str">
        <x:v>R13,R01</x:v>
      </x:c>
      <x:c r="K44" s="7" t="str"/>
      <x:c r="L44" s="7" t="str">
        <x:v>Open</x:v>
      </x:c>
      <x:c r="M44" s="7" t="str"/>
      <x:c r="N44" s="7" t="str"/>
    </x:row>
    <x:row r="45">
      <x:c r="A45" s="7" t="str">
        <x:v>GAP-044</x:v>
      </x:c>
      <x:c r="B45" s="7" t="str">
        <x:v>Web Designer</x:v>
      </x:c>
      <x:c r="C45" s="7" t="str">
        <x:v>P1</x:v>
      </x:c>
      <x:c r="D45" s="7" t="str">
        <x:v>High</x:v>
      </x:c>
      <x:c r="E45" s="7" t="str">
        <x:v>Concurrent Editing</x:v>
      </x:c>
      <x:c r="F45" s="7" t="str">
        <x:v>Avoid overwriting another designer/admin session</x:v>
      </x:c>
      <x:c r="G45" s="7" t="str">
        <x:v>No edit locking/collision UI is evident.</x:v>
      </x:c>
      <x:c r="H45" s="7" t="str">
        <x:v>Add edit presence/lock or optimistic version check before save.</x:v>
      </x:c>
      <x:c r="I45" s="7" t="str">
        <x:v>Error prevention</x:v>
      </x:c>
      <x:c r="J45" s="7" t="str">
        <x:v>R01,R14</x:v>
      </x:c>
      <x:c r="K45" s="7" t="str"/>
      <x:c r="L45" s="7" t="str">
        <x:v>Open</x:v>
      </x:c>
      <x:c r="M45" s="7" t="str"/>
      <x:c r="N45" s="7" t="str"/>
    </x:row>
    <x:row r="46">
      <x:c r="A46" s="7" t="str">
        <x:v>GAP-045</x:v>
      </x:c>
      <x:c r="B46" s="7" t="str">
        <x:v>Web Designer</x:v>
      </x:c>
      <x:c r="C46" s="7" t="str">
        <x:v>P1</x:v>
      </x:c>
      <x:c r="D46" s="7" t="str">
        <x:v>Medium</x:v>
      </x:c>
      <x:c r="E46" s="7" t="str">
        <x:v>Save State</x:v>
      </x:c>
      <x:c r="F46" s="7" t="str">
        <x:v>Know Draft/Pending/Published context</x:v>
      </x:c>
      <x:c r="G46" s="7" t="str">
        <x:v>Template workspace says Save Template Draft; approval status exists elsewhere.</x:v>
      </x:c>
      <x:c r="H46" s="7" t="str">
        <x:v>Display status chip in editor header and direct Submit for Approval action.</x:v>
      </x:c>
      <x:c r="I46" s="7" t="str">
        <x:v>Visibility of status</x:v>
      </x:c>
      <x:c r="J46" s="7" t="str">
        <x:v>R01</x:v>
      </x:c>
      <x:c r="K46" s="7" t="str"/>
      <x:c r="L46" s="7" t="str">
        <x:v>Open</x:v>
      </x:c>
      <x:c r="M46" s="7" t="str"/>
      <x:c r="N46" s="7" t="str"/>
    </x:row>
    <x:row r="47">
      <x:c r="A47" s="7" t="str">
        <x:v>GAP-046</x:v>
      </x:c>
      <x:c r="B47" s="7" t="str">
        <x:v>Web Designer</x:v>
      </x:c>
      <x:c r="C47" s="7" t="str">
        <x:v>P1</x:v>
      </x:c>
      <x:c r="D47" s="7" t="str">
        <x:v>Medium</x:v>
      </x:c>
      <x:c r="E47" s="7" t="str">
        <x:v>Media Upload</x:v>
      </x:c>
      <x:c r="F47" s="7" t="str">
        <x:v>Upload image/video/background safely</x:v>
      </x:c>
      <x:c r="G47" s="7" t="str">
        <x:v>Backend MIME limits were hardened; client file limits exist.</x:v>
      </x:c>
      <x:c r="H47" s="7" t="str">
        <x:v>Add progress, retry and file detail before upload completion.</x:v>
      </x:c>
      <x:c r="I47" s="7" t="str">
        <x:v>Visibility; error recovery</x:v>
      </x:c>
      <x:c r="J47" s="7" t="str">
        <x:v>R01</x:v>
      </x:c>
      <x:c r="K47" s="7" t="str"/>
      <x:c r="L47" s="7" t="str">
        <x:v>Open</x:v>
      </x:c>
      <x:c r="M47" s="7" t="str"/>
      <x:c r="N47" s="7" t="str"/>
    </x:row>
    <x:row r="48">
      <x:c r="A48" s="7" t="str">
        <x:v>GAP-047</x:v>
      </x:c>
      <x:c r="B48" s="7" t="str">
        <x:v>Web Designer</x:v>
      </x:c>
      <x:c r="C48" s="7" t="str">
        <x:v>P1</x:v>
      </x:c>
      <x:c r="D48" s="7" t="str">
        <x:v>Medium</x:v>
      </x:c>
      <x:c r="E48" s="7" t="str">
        <x:v>Background Effects</x:v>
      </x:c>
      <x:c r="F48" s="7" t="str">
        <x:v>Configure motion without making site uncomfortable</x:v>
      </x:c>
      <x:c r="G48" s="7" t="str">
        <x:v>Zoom/Pan/Ken Burns and similar effects exist.</x:v>
      </x:c>
      <x:c r="H48" s="7" t="str">
        <x:v>Add reduced-motion preview and intensity controls.</x:v>
      </x:c>
      <x:c r="I48" s="7" t="str">
        <x:v>User control/accessibility</x:v>
      </x:c>
      <x:c r="J48" s="7" t="str">
        <x:v>R03</x:v>
      </x:c>
      <x:c r="K48" s="7" t="str"/>
      <x:c r="L48" s="7" t="str">
        <x:v>Open</x:v>
      </x:c>
      <x:c r="M48" s="7" t="str"/>
      <x:c r="N48" s="7" t="str"/>
    </x:row>
    <x:row r="49">
      <x:c r="A49" s="7" t="str">
        <x:v>GAP-048</x:v>
      </x:c>
      <x:c r="B49" s="7" t="str">
        <x:v>Web Designer</x:v>
      </x:c>
      <x:c r="C49" s="7" t="str">
        <x:v>P1</x:v>
      </x:c>
      <x:c r="D49" s="7" t="str">
        <x:v>Medium</x:v>
      </x:c>
      <x:c r="E49" s="7" t="str">
        <x:v>Gallery</x:v>
      </x:c>
      <x:c r="F49" s="7" t="str">
        <x:v>Curate images efficiently</x:v>
      </x:c>
      <x:c r="G49" s="7" t="str">
        <x:v>Multi-upload/delete/full-width/carousel are present.</x:v>
      </x:c>
      <x:c r="H49" s="7" t="str">
        <x:v>Add drag reorder + crop/aspect focal point per image.</x:v>
      </x:c>
      <x:c r="I49" s="7" t="str">
        <x:v>Efficiency; direct manipulation</x:v>
      </x:c>
      <x:c r="J49" s="7" t="str">
        <x:v>R01</x:v>
      </x:c>
      <x:c r="K49" s="7" t="str"/>
      <x:c r="L49" s="7" t="str">
        <x:v>Open</x:v>
      </x:c>
      <x:c r="M49" s="7" t="str"/>
      <x:c r="N49" s="7" t="str"/>
    </x:row>
    <x:row r="50">
      <x:c r="A50" s="7" t="str">
        <x:v>GAP-049</x:v>
      </x:c>
      <x:c r="B50" s="7" t="str">
        <x:v>Web Designer</x:v>
      </x:c>
      <x:c r="C50" s="7" t="str">
        <x:v>P1</x:v>
      </x:c>
      <x:c r="D50" s="7" t="str">
        <x:v>Medium</x:v>
      </x:c>
      <x:c r="E50" s="7" t="str">
        <x:v>Sound</x:v>
      </x:c>
      <x:c r="F50" s="7" t="str">
        <x:v>Curate site sound</x:v>
      </x:c>
      <x:c r="G50" s="7" t="str">
        <x:v>Sound library and upload/preset selection exist.</x:v>
      </x:c>
      <x:c r="H50" s="7" t="str">
        <x:v>Show duration/file metadata, currently-playing state across selection changes.</x:v>
      </x:c>
      <x:c r="I50" s="7" t="str">
        <x:v>Visibility; user control</x:v>
      </x:c>
      <x:c r="J50" s="7" t="str">
        <x:v>R01</x:v>
      </x:c>
      <x:c r="K50" s="7" t="str"/>
      <x:c r="L50" s="7" t="str">
        <x:v>Open</x:v>
      </x:c>
      <x:c r="M50" s="7" t="str"/>
      <x:c r="N50" s="7" t="str"/>
    </x:row>
    <x:row r="51">
      <x:c r="A51" s="7" t="str">
        <x:v>GAP-050</x:v>
      </x:c>
      <x:c r="B51" s="7" t="str">
        <x:v>Web Designer</x:v>
      </x:c>
      <x:c r="C51" s="7" t="str">
        <x:v>P1</x:v>
      </x:c>
      <x:c r="D51" s="7" t="str">
        <x:v>Medium</x:v>
      </x:c>
      <x:c r="E51" s="7" t="str">
        <x:v>Article CMS</x:v>
      </x:c>
      <x:c r="F51" s="7" t="str">
        <x:v>Create/edit article if role permits</x:v>
      </x:c>
      <x:c r="G51" s="7" t="str">
        <x:v>Editor system role currently has articles.manage.</x:v>
      </x:c>
      <x:c r="H51" s="7" t="str">
        <x:v>Confirm whether Web Designer truly needs Article CMS; remove permission if not part of job.</x:v>
      </x:c>
      <x:c r="I51" s="7" t="str">
        <x:v>Least privilege; reduce cognitive load</x:v>
      </x:c>
      <x:c r="J51" s="7" t="str">
        <x:v>R15,R16</x:v>
      </x:c>
      <x:c r="K51" s="7" t="str"/>
      <x:c r="L51" s="7" t="str">
        <x:v>Open</x:v>
      </x:c>
      <x:c r="M51" s="7" t="str"/>
      <x:c r="N51" s="7" t="str"/>
    </x:row>
    <x:row r="52">
      <x:c r="A52" s="7" t="str">
        <x:v>GAP-051</x:v>
      </x:c>
      <x:c r="B52" s="7" t="str">
        <x:v>Web Designer</x:v>
      </x:c>
      <x:c r="C52" s="7" t="str">
        <x:v>P1</x:v>
      </x:c>
      <x:c r="D52" s="7" t="str">
        <x:v>High</x:v>
      </x:c>
      <x:c r="E52" s="7" t="str">
        <x:v>Article Revisions</x:v>
      </x:c>
      <x:c r="F52" s="7" t="str">
        <x:v>Recover article edits</x:v>
      </x:c>
      <x:c r="G52" s="7" t="str">
        <x:v>Article editor supports Draft/Publish but no revision history/autosave.</x:v>
      </x:c>
      <x:c r="H52" s="7" t="str">
        <x:v>Add autosave + revisions or restrict article publishing to dedicated content role.</x:v>
      </x:c>
      <x:c r="I52" s="7" t="str">
        <x:v>Error recovery</x:v>
      </x:c>
      <x:c r="J52" s="7" t="str">
        <x:v>R13,R14</x:v>
      </x:c>
      <x:c r="K52" s="7" t="str"/>
      <x:c r="L52" s="7" t="str">
        <x:v>Open</x:v>
      </x:c>
      <x:c r="M52" s="7" t="str"/>
      <x:c r="N52" s="7" t="str"/>
    </x:row>
    <x:row r="53">
      <x:c r="A53" s="7" t="str">
        <x:v>GAP-052</x:v>
      </x:c>
      <x:c r="B53" s="7" t="str">
        <x:v>Web Designer</x:v>
      </x:c>
      <x:c r="C53" s="7" t="str">
        <x:v>P1</x:v>
      </x:c>
      <x:c r="D53" s="7" t="str">
        <x:v>Medium</x:v>
      </x:c>
      <x:c r="E53" s="7" t="str">
        <x:v>Task Status</x:v>
      </x:c>
      <x:c r="F53" s="7" t="str">
        <x:v>Update Open → In Progress → Waiting Customer → Done</x:v>
      </x:c>
      <x:c r="G53" s="7" t="str">
        <x:v>Task status selector supports these states plus Cancelled.</x:v>
      </x:c>
      <x:c r="H53" s="7" t="str">
        <x:v>Add activity history, comments and required note for Cancelled/Waiting Customer.</x:v>
      </x:c>
      <x:c r="I53" s="7" t="str">
        <x:v>Visibility; accountability</x:v>
      </x:c>
      <x:c r="J53" s="7" t="str">
        <x:v>R01</x:v>
      </x:c>
      <x:c r="K53" s="7" t="str"/>
      <x:c r="L53" s="7" t="str">
        <x:v>Open</x:v>
      </x:c>
      <x:c r="M53" s="7" t="str"/>
      <x:c r="N53" s="7" t="str"/>
    </x:row>
    <x:row r="54">
      <x:c r="A54" s="7" t="str">
        <x:v>GAP-053</x:v>
      </x:c>
      <x:c r="B54" s="7" t="str">
        <x:v>Web Designer</x:v>
      </x:c>
      <x:c r="C54" s="7" t="str">
        <x:v>P1</x:v>
      </x:c>
      <x:c r="D54" s="7" t="str">
        <x:v>Medium</x:v>
      </x:c>
      <x:c r="E54" s="7" t="str">
        <x:v>Outbound</x:v>
      </x:c>
      <x:c r="F54" s="7" t="str">
        <x:v>Message assigned Customer</x:v>
      </x:c>
      <x:c r="G54" s="7" t="str">
        <x:v>Editor has conversations.outbound and can message users.</x:v>
      </x:c>
      <x:c r="H54" s="7" t="str">
        <x:v>Launch message from Client/Task context and constrain recipients to assigned clients unless business needs broader access.</x:v>
      </x:c>
      <x:c r="I54" s="7" t="str">
        <x:v>Least privilege; context</x:v>
      </x:c>
      <x:c r="J54" s="7" t="str">
        <x:v>R15,R16</x:v>
      </x:c>
      <x:c r="K54" s="7" t="str"/>
      <x:c r="L54" s="7" t="str">
        <x:v>Open</x:v>
      </x:c>
      <x:c r="M54" s="7" t="str"/>
      <x:c r="N54" s="7" t="str"/>
    </x:row>
    <x:row r="55">
      <x:c r="A55" s="7" t="str">
        <x:v>GAP-054</x:v>
      </x:c>
      <x:c r="B55" s="7" t="str">
        <x:v>Web Designer</x:v>
      </x:c>
      <x:c r="C55" s="7" t="str">
        <x:v>P1</x:v>
      </x:c>
      <x:c r="D55" s="7" t="str">
        <x:v>High</x:v>
      </x:c>
      <x:c r="E55" s="7" t="str">
        <x:v>Support Inbox</x:v>
      </x:c>
      <x:c r="F55" s="7" t="str">
        <x:v>Decide whether full support inbox is useful for Designer</x:v>
      </x:c>
      <x:c r="G55" s="7" t="str">
        <x:v>Editor currently has conversations.view/reply and dashboard quick action opens support inbox.</x:v>
      </x:c>
      <x:c r="H55" s="7" t="str">
        <x:v>Default Web Designer to project conversations/assigned customers, not the full CS inbox; make broader support permission optional.</x:v>
      </x:c>
      <x:c r="I55" s="7" t="str">
        <x:v>Least privilege; cognitive load</x:v>
      </x:c>
      <x:c r="J55" s="7" t="str">
        <x:v>R15,R16,R01</x:v>
      </x:c>
      <x:c r="K55" s="7" t="str"/>
      <x:c r="L55" s="7" t="str">
        <x:v>Open</x:v>
      </x:c>
      <x:c r="M55" s="7" t="str"/>
      <x:c r="N55" s="7" t="str"/>
    </x:row>
    <x:row r="56">
      <x:c r="A56" s="7" t="str">
        <x:v>GAP-055</x:v>
      </x:c>
      <x:c r="B56" s="7" t="str">
        <x:v>Web Designer</x:v>
      </x:c>
      <x:c r="C56" s="7" t="str">
        <x:v>P1</x:v>
      </x:c>
      <x:c r="D56" s="7" t="str">
        <x:v>Medium</x:v>
      </x:c>
      <x:c r="E56" s="7" t="str">
        <x:v>Alerts</x:v>
      </x:c>
      <x:c r="F56" s="7" t="str">
        <x:v>Notice new task/rejection/customer reply without distraction</x:v>
      </x:c>
      <x:c r="G56" s="7" t="str">
        <x:v>Sound notification exists with mute preference.</x:v>
      </x:c>
      <x:c r="H56" s="7" t="str">
        <x:v>Add visual notification center/unread badge and deep link; keep sound optional.</x:v>
      </x:c>
      <x:c r="I56" s="7" t="str">
        <x:v>Visibility; user control</x:v>
      </x:c>
      <x:c r="J56" s="7" t="str">
        <x:v>R01</x:v>
      </x:c>
      <x:c r="K56" s="7" t="str"/>
      <x:c r="L56" s="7" t="str">
        <x:v>Open</x:v>
      </x:c>
      <x:c r="M56" s="7" t="str"/>
      <x:c r="N56" s="7" t="str"/>
    </x:row>
    <x:row r="57">
      <x:c r="A57" s="7" t="str">
        <x:v>GAP-056</x:v>
      </x:c>
      <x:c r="B57" s="7" t="str">
        <x:v>Administrator</x:v>
      </x:c>
      <x:c r="C57" s="7" t="str">
        <x:v>P0</x:v>
      </x:c>
      <x:c r="D57" s="7" t="str">
        <x:v>Critical</x:v>
      </x:c>
      <x:c r="E57" s="7" t="str">
        <x:v>Role Language</x:v>
      </x:c>
      <x:c r="F57" s="7" t="str">
        <x:v>See Administrator terminology instead of technical Superadmin labels</x:v>
      </x:c>
      <x:c r="G57" s="7" t="str">
        <x:v>UI uses Admin, Platform Admin and SUPERADMIN interchangeably.</x:v>
      </x:c>
      <x:c r="H57" s="7" t="str">
        <x:v>Standardize visible role as Administrator; reserve 'Superadmin' only for permission tier if truly required.</x:v>
      </x:c>
      <x:c r="I57" s="7" t="str">
        <x:v>Consistency</x:v>
      </x:c>
      <x:c r="J57" s="7" t="str">
        <x:v>R01</x:v>
      </x:c>
      <x:c r="K57" s="7" t="str"/>
      <x:c r="L57" s="7" t="str">
        <x:v>Open</x:v>
      </x:c>
      <x:c r="M57" s="7" t="str"/>
      <x:c r="N57" s="7" t="str"/>
    </x:row>
    <x:row r="58">
      <x:c r="A58" s="7" t="str">
        <x:v>GAP-057</x:v>
      </x:c>
      <x:c r="B58" s="7" t="str">
        <x:v>Administrator</x:v>
      </x:c>
      <x:c r="C58" s="7" t="str">
        <x:v>P1</x:v>
      </x:c>
      <x:c r="D58" s="7" t="str">
        <x:v>Medium</x:v>
      </x:c>
      <x:c r="E58" s="7" t="str">
        <x:v>Overview</x:v>
      </x:c>
      <x:c r="F58" s="7" t="str">
        <x:v>Identify the most urgent operational items</x:v>
      </x:c>
      <x:c r="G58" s="7" t="str">
        <x:v>Overview has accounts/templates/articles/revenue and action cards for approvals/payment/articles/orders/CS.</x:v>
      </x:c>
      <x:c r="H58" s="7" t="str">
        <x:v>Add exception-oriented alerts and failed email/payment/system health rather than only aggregate counts.</x:v>
      </x:c>
      <x:c r="I58" s="7" t="str">
        <x:v>Visibility; actionable dashboards</x:v>
      </x:c>
      <x:c r="J58" s="7" t="str">
        <x:v>R01</x:v>
      </x:c>
      <x:c r="K58" s="7" t="str"/>
      <x:c r="L58" s="7" t="str">
        <x:v>Open</x:v>
      </x:c>
      <x:c r="M58" s="7" t="str"/>
      <x:c r="N58" s="7" t="str"/>
    </x:row>
    <x:row r="59">
      <x:c r="A59" s="7" t="str">
        <x:v>GAP-058</x:v>
      </x:c>
      <x:c r="B59" s="7" t="str">
        <x:v>Administrator</x:v>
      </x:c>
      <x:c r="C59" s="7" t="str">
        <x:v>P1</x:v>
      </x:c>
      <x:c r="D59" s="7" t="str">
        <x:v>Medium</x:v>
      </x:c>
      <x:c r="E59" s="7" t="str">
        <x:v>Drilldown</x:v>
      </x:c>
      <x:c r="F59" s="7" t="str">
        <x:v>Click metrics to reach underlying records</x:v>
      </x:c>
      <x:c r="G59" s="7" t="str">
        <x:v>Action cards drill to several modules; top stat cards are not clearly interactive.</x:v>
      </x:c>
      <x:c r="H59" s="7" t="str">
        <x:v>Make all meaningful KPIs clickable with applied filter/time window.</x:v>
      </x:c>
      <x:c r="I59" s="7" t="str">
        <x:v>Efficiency; visibility</x:v>
      </x:c>
      <x:c r="J59" s="7" t="str">
        <x:v>R01</x:v>
      </x:c>
      <x:c r="K59" s="7" t="str"/>
      <x:c r="L59" s="7" t="str">
        <x:v>Open</x:v>
      </x:c>
      <x:c r="M59" s="7" t="str"/>
      <x:c r="N59" s="7" t="str"/>
    </x:row>
    <x:row r="60">
      <x:c r="A60" s="7" t="str">
        <x:v>GAP-059</x:v>
      </x:c>
      <x:c r="B60" s="7" t="str">
        <x:v>Administrator</x:v>
      </x:c>
      <x:c r="C60" s="7" t="str">
        <x:v>P0</x:v>
      </x:c>
      <x:c r="D60" s="7" t="str">
        <x:v>High</x:v>
      </x:c>
      <x:c r="E60" s="7" t="str">
        <x:v>Create Account</x:v>
      </x:c>
      <x:c r="F60" s="7" t="str">
        <x:v>Create Customer/Web Designer/CS/Admin account safely</x:v>
      </x:c>
      <x:c r="G60" s="7" t="str">
        <x:v>Account creation modal supports role, username, email, password.</x:v>
      </x:c>
      <x:c r="H60" s="7" t="str">
        <x:v>Remove default password value, show password requirements, clarify whether admin-created Customer bypasses email verification.</x:v>
      </x:c>
      <x:c r="I60" s="7" t="str">
        <x:v>Error prevention; security UX</x:v>
      </x:c>
      <x:c r="J60" s="7" t="str">
        <x:v>R01,R03</x:v>
      </x:c>
      <x:c r="K60" s="7" t="str"/>
      <x:c r="L60" s="7" t="str">
        <x:v>Open</x:v>
      </x:c>
      <x:c r="M60" s="7" t="str"/>
      <x:c r="N60" s="7" t="str"/>
    </x:row>
    <x:row r="61">
      <x:c r="A61" s="7" t="str">
        <x:v>GAP-060</x:v>
      </x:c>
      <x:c r="B61" s="7" t="str">
        <x:v>Administrator</x:v>
      </x:c>
      <x:c r="C61" s="7" t="str">
        <x:v>P0</x:v>
      </x:c>
      <x:c r="D61" s="7" t="str">
        <x:v>High</x:v>
      </x:c>
      <x:c r="E61" s="7" t="str">
        <x:v>Role Creation</x:v>
      </x:c>
      <x:c r="F61" s="7" t="str">
        <x:v>Create custom role with only required permissions</x:v>
      </x:c>
      <x:c r="G61" s="7" t="str">
        <x:v>Custom role creation and permission checklist exist.</x:v>
      </x:c>
      <x:c r="H61" s="7" t="str">
        <x:v>Group permissions by module, add descriptions/risk level and copy-from-role capability.</x:v>
      </x:c>
      <x:c r="I61" s="7" t="str">
        <x:v>Least privilege; recognition</x:v>
      </x:c>
      <x:c r="J61" s="7" t="str">
        <x:v>R15,R16</x:v>
      </x:c>
      <x:c r="K61" s="7" t="str"/>
      <x:c r="L61" s="7" t="str">
        <x:v>Open</x:v>
      </x:c>
      <x:c r="M61" s="7" t="str"/>
      <x:c r="N61" s="7" t="str"/>
    </x:row>
    <x:row r="62">
      <x:c r="A62" s="7" t="str">
        <x:v>GAP-061</x:v>
      </x:c>
      <x:c r="B62" s="7" t="str">
        <x:v>Administrator</x:v>
      </x:c>
      <x:c r="C62" s="7" t="str">
        <x:v>P0</x:v>
      </x:c>
      <x:c r="D62" s="7" t="str">
        <x:v>Critical</x:v>
      </x:c>
      <x:c r="E62" s="7" t="str">
        <x:v>Delete Role</x:v>
      </x:c>
      <x:c r="F62" s="7" t="str">
        <x:v>Delete custom role safely</x:v>
      </x:c>
      <x:c r="G62" s="7" t="str">
        <x:v>Backend prevents deletion when used, but UI delete action appears direct.</x:v>
      </x:c>
      <x:c r="H62" s="7" t="str">
        <x:v>Add confirmation dialog showing affected user count and recommended reassignment.</x:v>
      </x:c>
      <x:c r="I62" s="7" t="str">
        <x:v>Error prevention; user control</x:v>
      </x:c>
      <x:c r="J62" s="7" t="str">
        <x:v>R01</x:v>
      </x:c>
      <x:c r="K62" s="7" t="str"/>
      <x:c r="L62" s="7" t="str">
        <x:v>Open</x:v>
      </x:c>
      <x:c r="M62" s="7" t="str"/>
      <x:c r="N62" s="7" t="str"/>
    </x:row>
    <x:row r="63">
      <x:c r="A63" s="7" t="str">
        <x:v>GAP-062</x:v>
      </x:c>
      <x:c r="B63" s="7" t="str">
        <x:v>Administrator</x:v>
      </x:c>
      <x:c r="C63" s="7" t="str">
        <x:v>P0</x:v>
      </x:c>
      <x:c r="D63" s="7" t="str">
        <x:v>Critical</x:v>
      </x:c>
      <x:c r="E63" s="7" t="str">
        <x:v>Audit Trail</x:v>
      </x:c>
      <x:c r="F63" s="7" t="str">
        <x:v>Know who changed permissions and when</x:v>
      </x:c>
      <x:c r="G63" s="7" t="str">
        <x:v>No role/user admin audit-log UI is evident.</x:v>
      </x:c>
      <x:c r="H63" s="7" t="str">
        <x:v>Add immutable audit events for account/role/permission/payment/template approval actions.</x:v>
      </x:c>
      <x:c r="I63" s="7" t="str">
        <x:v>Accountability; error recovery</x:v>
      </x:c>
      <x:c r="J63" s="7" t="str">
        <x:v>R15,R16</x:v>
      </x:c>
      <x:c r="K63" s="7" t="str"/>
      <x:c r="L63" s="7" t="str">
        <x:v>Open</x:v>
      </x:c>
      <x:c r="M63" s="7" t="str"/>
      <x:c r="N63" s="7" t="str"/>
    </x:row>
    <x:row r="64">
      <x:c r="A64" s="7" t="str">
        <x:v>GAP-063</x:v>
      </x:c>
      <x:c r="B64" s="7" t="str">
        <x:v>Administrator</x:v>
      </x:c>
      <x:c r="C64" s="7" t="str">
        <x:v>P1</x:v>
      </x:c>
      <x:c r="D64" s="7" t="str">
        <x:v>Medium</x:v>
      </x:c>
      <x:c r="E64" s="7" t="str">
        <x:v>Queue</x:v>
      </x:c>
      <x:c r="F64" s="7" t="str">
        <x:v>See pending template approvals in one place</x:v>
      </x:c>
      <x:c r="G64" s="7" t="str">
        <x:v>Tasks page has dedicated Template Approval section with requestor/price context through template data.</x:v>
      </x:c>
      <x:c r="H64" s="7" t="str">
        <x:v>Add actual template preview and sort by submission age.</x:v>
      </x:c>
      <x:c r="I64" s="7" t="str">
        <x:v>Visibility; efficiency</x:v>
      </x:c>
      <x:c r="J64" s="7" t="str">
        <x:v>R01</x:v>
      </x:c>
      <x:c r="K64" s="7" t="str"/>
      <x:c r="L64" s="7" t="str">
        <x:v>Open</x:v>
      </x:c>
      <x:c r="M64" s="7" t="str"/>
      <x:c r="N64" s="7" t="str"/>
    </x:row>
    <x:row r="65">
      <x:c r="A65" s="7" t="str">
        <x:v>GAP-064</x:v>
      </x:c>
      <x:c r="B65" s="7" t="str">
        <x:v>Administrator</x:v>
      </x:c>
      <x:c r="C65" s="7" t="str">
        <x:v>P0</x:v>
      </x:c>
      <x:c r="D65" s="7" t="str">
        <x:v>High</x:v>
      </x:c>
      <x:c r="E65" s="7" t="str">
        <x:v>Approve</x:v>
      </x:c>
      <x:c r="F65" s="7" t="str">
        <x:v>Approve &amp; publish intentionally</x:v>
      </x:c>
      <x:c r="G65" s="7" t="str">
        <x:v>Approved &amp; Publish action is available.</x:v>
      </x:c>
      <x:c r="H65" s="7" t="str">
        <x:v>Show final preview + price/metadata summary before publish.</x:v>
      </x:c>
      <x:c r="I65" s="7" t="str">
        <x:v>Error prevention</x:v>
      </x:c>
      <x:c r="J65" s="7" t="str">
        <x:v>R01</x:v>
      </x:c>
      <x:c r="K65" s="7" t="str"/>
      <x:c r="L65" s="7" t="str">
        <x:v>Open</x:v>
      </x:c>
      <x:c r="M65" s="7" t="str"/>
      <x:c r="N65" s="7" t="str"/>
    </x:row>
    <x:row r="66">
      <x:c r="A66" s="7" t="str">
        <x:v>GAP-065</x:v>
      </x:c>
      <x:c r="B66" s="7" t="str">
        <x:v>Administrator</x:v>
      </x:c>
      <x:c r="C66" s="7" t="str">
        <x:v>P1</x:v>
      </x:c>
      <x:c r="D66" s="7" t="str">
        <x:v>Medium</x:v>
      </x:c>
      <x:c r="E66" s="7" t="str">
        <x:v>Analytics</x:v>
      </x:c>
      <x:c r="F66" s="7" t="str">
        <x:v>Monitor checkout qty and paid nominal</x:v>
      </x:c>
      <x:c r="G66" s="7" t="str">
        <x:v>Orders &amp; Revenue displays checkout qty, paid nominal, unique customers and paid orders.</x:v>
      </x:c>
      <x:c r="H66" s="7" t="str">
        <x:v>Add date range, payment method, template and assignment filters.</x:v>
      </x:c>
      <x:c r="I66" s="7" t="str">
        <x:v>Visibility; data usability</x:v>
      </x:c>
      <x:c r="J66" s="7" t="str">
        <x:v>R01</x:v>
      </x:c>
      <x:c r="K66" s="7" t="str"/>
      <x:c r="L66" s="7" t="str">
        <x:v>Open</x:v>
      </x:c>
      <x:c r="M66" s="7" t="str"/>
      <x:c r="N66" s="7" t="str"/>
    </x:row>
    <x:row r="67">
      <x:c r="A67" s="7" t="str">
        <x:v>GAP-066</x:v>
      </x:c>
      <x:c r="B67" s="7" t="str">
        <x:v>Administrator</x:v>
      </x:c>
      <x:c r="C67" s="7" t="str">
        <x:v>P1</x:v>
      </x:c>
      <x:c r="D67" s="7" t="str">
        <x:v>Medium</x:v>
      </x:c>
      <x:c r="E67" s="7" t="str">
        <x:v>Export</x:v>
      </x:c>
      <x:c r="F67" s="7" t="str">
        <x:v>Export operational data</x:v>
      </x:c>
      <x:c r="G67" s="7" t="str">
        <x:v>CSV and Excel-compatible export actions exist.</x:v>
      </x:c>
      <x:c r="H67" s="7" t="str">
        <x:v>Make export honor current filters and use true XLSX for production analytics.</x:v>
      </x:c>
      <x:c r="I67" s="7" t="str">
        <x:v>Efficiency</x:v>
      </x:c>
      <x:c r="J67" s="7" t="str">
        <x:v>R01</x:v>
      </x:c>
      <x:c r="K67" s="7" t="str"/>
      <x:c r="L67" s="7" t="str">
        <x:v>Open</x:v>
      </x:c>
      <x:c r="M67" s="7" t="str"/>
      <x:c r="N67" s="7" t="str"/>
    </x:row>
    <x:row r="68">
      <x:c r="A68" s="7" t="str">
        <x:v>GAP-067</x:v>
      </x:c>
      <x:c r="B68" s="7" t="str">
        <x:v>Administrator</x:v>
      </x:c>
      <x:c r="C68" s="7" t="str">
        <x:v>P1</x:v>
      </x:c>
      <x:c r="D68" s="7" t="str">
        <x:v>High</x:v>
      </x:c>
      <x:c r="E68" s="7" t="str">
        <x:v>Order Detail</x:v>
      </x:c>
      <x:c r="F68" s="7" t="str">
        <x:v>Investigate a specific order</x:v>
      </x:c>
      <x:c r="G68" s="7" t="str">
        <x:v>Analytics is table-oriented; no rich order detail page is evident.</x:v>
      </x:c>
      <x:c r="H68" s="7" t="str">
        <x:v>Add Order Detail timeline linking receipt, CS conversation, CS task and Designer task.</x:v>
      </x:c>
      <x:c r="I68" s="7" t="str">
        <x:v>Recognition; investigation efficiency</x:v>
      </x:c>
      <x:c r="J68" s="7" t="str">
        <x:v>R01</x:v>
      </x:c>
      <x:c r="K68" s="7" t="str"/>
      <x:c r="L68" s="7" t="str">
        <x:v>Open</x:v>
      </x:c>
      <x:c r="M68" s="7" t="str"/>
      <x:c r="N68" s="7" t="str"/>
    </x:row>
    <x:row r="69">
      <x:c r="A69" s="7" t="str">
        <x:v>GAP-068</x:v>
      </x:c>
      <x:c r="B69" s="7" t="str">
        <x:v>Administrator</x:v>
      </x:c>
      <x:c r="C69" s="7" t="str">
        <x:v>P0</x:v>
      </x:c>
      <x:c r="D69" s="7" t="str">
        <x:v>High</x:v>
      </x:c>
      <x:c r="E69" s="7" t="str">
        <x:v>Payment Methods</x:v>
      </x:c>
      <x:c r="F69" s="7" t="str">
        <x:v>Enable/configure payment methods safely</x:v>
      </x:c>
      <x:c r="G69" s="7" t="str">
        <x:v>Payment settings supports enabled toggle, merchant name and instructions.</x:v>
      </x:c>
      <x:c r="H69" s="7" t="str">
        <x:v>Add test connection/validation, gateway credential status and separate staging/production configuration.</x:v>
      </x:c>
      <x:c r="I69" s="7" t="str">
        <x:v>Error prevention</x:v>
      </x:c>
      <x:c r="J69" s="7" t="str">
        <x:v>R01</x:v>
      </x:c>
      <x:c r="K69" s="7" t="str"/>
      <x:c r="L69" s="7" t="str">
        <x:v>Open</x:v>
      </x:c>
      <x:c r="M69" s="7" t="str"/>
      <x:c r="N69" s="7" t="str"/>
    </x:row>
    <x:row r="70">
      <x:c r="A70" s="7" t="str">
        <x:v>GAP-069</x:v>
      </x:c>
      <x:c r="B70" s="7" t="str">
        <x:v>Administrator</x:v>
      </x:c>
      <x:c r="C70" s="7" t="str">
        <x:v>P1</x:v>
      </x:c>
      <x:c r="D70" s="7" t="str">
        <x:v>Medium</x:v>
      </x:c>
      <x:c r="E70" s="7" t="str">
        <x:v>Article CMS</x:v>
      </x:c>
      <x:c r="F70" s="7" t="str">
        <x:v>Create Draft/Publish article</x:v>
      </x:c>
      <x:c r="G70" s="7" t="str">
        <x:v>Full-page Article Editor supports Draft/Publish.</x:v>
      </x:c>
      <x:c r="H70" s="7" t="str">
        <x:v>Add actual article preview before publish and publication scheduling if needed.</x:v>
      </x:c>
      <x:c r="I70" s="7" t="str">
        <x:v>User control; visibility</x:v>
      </x:c>
      <x:c r="J70" s="7" t="str">
        <x:v>R01</x:v>
      </x:c>
      <x:c r="K70" s="7" t="str"/>
      <x:c r="L70" s="7" t="str">
        <x:v>Open</x:v>
      </x:c>
      <x:c r="M70" s="7" t="str"/>
      <x:c r="N70" s="7" t="str"/>
    </x:row>
    <x:row r="71">
      <x:c r="A71" s="7" t="str">
        <x:v>GAP-070</x:v>
      </x:c>
      <x:c r="B71" s="7" t="str">
        <x:v>Administrator</x:v>
      </x:c>
      <x:c r="C71" s="7" t="str">
        <x:v>P0</x:v>
      </x:c>
      <x:c r="D71" s="7" t="str">
        <x:v>Critical</x:v>
      </x:c>
      <x:c r="E71" s="7" t="str">
        <x:v>Search</x:v>
      </x:c>
      <x:c r="F71" s="7" t="str">
        <x:v>Search article list</x:v>
      </x:c>
      <x:c r="G71" s="7" t="str">
        <x:v>Article table displays a Search article field without bound state/filter behavior.</x:v>
      </x:c>
      <x:c r="H71" s="7" t="str">
        <x:v>Wire search to title/category/tags or remove until implemented.</x:v>
      </x:c>
      <x:c r="I71" s="7" t="str">
        <x:v>Avoid dead controls; consistency</x:v>
      </x:c>
      <x:c r="J71" s="7" t="str">
        <x:v>R01</x:v>
      </x:c>
      <x:c r="K71" s="7" t="str"/>
      <x:c r="L71" s="7" t="str">
        <x:v>Open</x:v>
      </x:c>
      <x:c r="M71" s="7" t="str"/>
      <x:c r="N71" s="7" t="str"/>
    </x:row>
    <x:row r="72">
      <x:c r="A72" s="7" t="str">
        <x:v>GAP-071</x:v>
      </x:c>
      <x:c r="B72" s="7" t="str">
        <x:v>Administrator</x:v>
      </x:c>
      <x:c r="C72" s="7" t="str">
        <x:v>P1</x:v>
      </x:c>
      <x:c r="D72" s="7" t="str">
        <x:v>High</x:v>
      </x:c>
      <x:c r="E72" s="7" t="str">
        <x:v>Autosave/Revisions</x:v>
      </x:c>
      <x:c r="F72" s="7" t="str">
        <x:v>Recover editorial mistakes</x:v>
      </x:c>
      <x:c r="G72" s="7" t="str">
        <x:v>No autosave/revision workflow is evident.</x:v>
      </x:c>
      <x:c r="H72" s="7" t="str">
        <x:v>Add autosave + revisions, especially before expanding Article CMS.</x:v>
      </x:c>
      <x:c r="I72" s="7" t="str">
        <x:v>Error recovery</x:v>
      </x:c>
      <x:c r="J72" s="7" t="str">
        <x:v>R13,R14</x:v>
      </x:c>
      <x:c r="K72" s="7" t="str"/>
      <x:c r="L72" s="7" t="str">
        <x:v>Open</x:v>
      </x:c>
      <x:c r="M72" s="7" t="str"/>
      <x:c r="N72" s="7" t="str"/>
    </x:row>
    <x:row r="73">
      <x:c r="A73" s="7" t="str">
        <x:v>GAP-072</x:v>
      </x:c>
      <x:c r="B73" s="7" t="str">
        <x:v>Administrator</x:v>
      </x:c>
      <x:c r="C73" s="7" t="str">
        <x:v>P1</x:v>
      </x:c>
      <x:c r="D73" s="7" t="str">
        <x:v>Medium</x:v>
      </x:c>
      <x:c r="E73" s="7" t="str">
        <x:v>Catalog</x:v>
      </x:c>
      <x:c r="F73" s="7" t="str">
        <x:v>Upload, preview and delete catalog sounds</x:v>
      </x:c>
      <x:c r="G73" s="7" t="str">
        <x:v>Admin Sound Catalog supports upload, preview and delete.</x:v>
      </x:c>
      <x:c r="H73" s="7" t="str">
        <x:v>Warn when deleting a sound currently referenced by published sites.</x:v>
      </x:c>
      <x:c r="I73" s="7" t="str">
        <x:v>Error prevention</x:v>
      </x:c>
      <x:c r="J73" s="7" t="str">
        <x:v>R01</x:v>
      </x:c>
      <x:c r="K73" s="7" t="str"/>
      <x:c r="L73" s="7" t="str">
        <x:v>Open</x:v>
      </x:c>
      <x:c r="M73" s="7" t="str"/>
      <x:c r="N73" s="7" t="str"/>
    </x:row>
    <x:row r="74">
      <x:c r="A74" s="7" t="str">
        <x:v>GAP-073</x:v>
      </x:c>
      <x:c r="B74" s="7" t="str">
        <x:v>Administrator</x:v>
      </x:c>
      <x:c r="C74" s="7" t="str">
        <x:v>P1</x:v>
      </x:c>
      <x:c r="D74" s="7" t="str">
        <x:v>Medium</x:v>
      </x:c>
      <x:c r="E74" s="7" t="str">
        <x:v>Task Board</x:v>
      </x:c>
      <x:c r="F74" s="7" t="str">
        <x:v>Monitor operational tasks</x:v>
      </x:c>
      <x:c r="G74" s="7" t="str">
        <x:v>Task board supports status filters and priority display.</x:v>
      </x:c>
      <x:c r="H74" s="7" t="str">
        <x:v>Add search, assignee, priority and overdue filters plus bulk actions.</x:v>
      </x:c>
      <x:c r="I74" s="7" t="str">
        <x:v>Efficiency</x:v>
      </x:c>
      <x:c r="J74" s="7" t="str">
        <x:v>R01</x:v>
      </x:c>
      <x:c r="K74" s="7" t="str"/>
      <x:c r="L74" s="7" t="str">
        <x:v>Open</x:v>
      </x:c>
      <x:c r="M74" s="7" t="str"/>
      <x:c r="N74" s="7" t="str"/>
    </x:row>
    <x:row r="75">
      <x:c r="A75" s="7" t="str">
        <x:v>GAP-074</x:v>
      </x:c>
      <x:c r="B75" s="7" t="str">
        <x:v>Administrator</x:v>
      </x:c>
      <x:c r="C75" s="7" t="str">
        <x:v>P1</x:v>
      </x:c>
      <x:c r="D75" s="7" t="str">
        <x:v>Medium</x:v>
      </x:c>
      <x:c r="E75" s="7" t="str">
        <x:v>Alerts</x:v>
      </x:c>
      <x:c r="F75" s="7" t="str">
        <x:v>Receive actionable task/chat notifications</x:v>
      </x:c>
      <x:c r="G75" s="7" t="str">
        <x:v>Sound notifications exist; mute preference exists.</x:v>
      </x:c>
      <x:c r="H75" s="7" t="str">
        <x:v>Add notification center, unread count and severity-aware grouping.</x:v>
      </x:c>
      <x:c r="I75" s="7" t="str">
        <x:v>Visibility; user control</x:v>
      </x:c>
      <x:c r="J75" s="7" t="str">
        <x:v>R01</x:v>
      </x:c>
      <x:c r="K75" s="7" t="str"/>
      <x:c r="L75" s="7" t="str">
        <x:v>Open</x:v>
      </x:c>
      <x:c r="M75" s="7" t="str"/>
      <x:c r="N75" s="7" t="str"/>
    </x:row>
    <x:row r="76">
      <x:c r="A76" s="7" t="str">
        <x:v>GAP-075</x:v>
      </x:c>
      <x:c r="B76" s="7" t="str">
        <x:v>Administrator</x:v>
      </x:c>
      <x:c r="C76" s="7" t="str">
        <x:v>P0</x:v>
      </x:c>
      <x:c r="D76" s="7" t="str">
        <x:v>Critical</x:v>
      </x:c>
      <x:c r="E76" s="7" t="str">
        <x:v>Public vs Internal Status</x:v>
      </x:c>
      <x:c r="F76" s="7" t="str">
        <x:v>Keep system health visible to Admin, not customers</x:v>
      </x:c>
      <x:c r="G76" s="7" t="str">
        <x:v>Landing currently shows Database connected/API offline badge.</x:v>
      </x:c>
      <x:c r="H76" s="7" t="str">
        <x:v>Move API/DB health to Administrator-only System Status page.</x:v>
      </x:c>
      <x:c r="I76" s="7" t="str">
        <x:v>Match audience; minimalist design</x:v>
      </x:c>
      <x:c r="J76" s="7" t="str">
        <x:v>R01</x:v>
      </x:c>
      <x:c r="K76" s="7" t="str"/>
      <x:c r="L76" s="7" t="str">
        <x:v>Open</x:v>
      </x:c>
      <x:c r="M76" s="7" t="str"/>
      <x:c r="N76" s="7" t="str"/>
    </x:row>
    <x:row r="77">
      <x:c r="A77" s="7" t="str">
        <x:v>GAP-076</x:v>
      </x:c>
      <x:c r="B77" s="7" t="str">
        <x:v>Administrator</x:v>
      </x:c>
      <x:c r="C77" s="7" t="str">
        <x:v>P0</x:v>
      </x:c>
      <x:c r="D77" s="7" t="str">
        <x:v>Critical</x:v>
      </x:c>
      <x:c r="E77" s="7" t="str">
        <x:v>Default Credentials</x:v>
      </x:c>
      <x:c r="F77" s="7" t="str">
        <x:v>Operate without exposed default admin credentials</x:v>
      </x:c>
      <x:c r="G77" s="7" t="str">
        <x:v>Source ships admin/admin and UI hints it on login.</x:v>
      </x:c>
      <x:c r="H77" s="7" t="str">
        <x:v>On first staging deploy require password change; production seed should use secret/env or admin bootstrap flow.</x:v>
      </x:c>
      <x:c r="I77" s="7" t="str">
        <x:v>Error prevention; security trust</x:v>
      </x:c>
      <x:c r="J77" s="7" t="str">
        <x:v>R03,R15</x:v>
      </x:c>
      <x:c r="K77" s="7" t="str"/>
      <x:c r="L77" s="7" t="str">
        <x:v>Open</x:v>
      </x:c>
      <x:c r="M77" s="7" t="str"/>
      <x:c r="N77" s="7" t="str"/>
    </x:row>
    <x:row r="78">
      <x:c r="A78" s="7" t="str">
        <x:v>GAP-077</x:v>
      </x:c>
      <x:c r="B78" s="7" t="str">
        <x:v>Customer Service</x:v>
      </x:c>
      <x:c r="C78" s="7" t="str">
        <x:v>P1</x:v>
      </x:c>
      <x:c r="D78" s="7" t="str">
        <x:v>High</x:v>
      </x:c>
      <x:c r="E78" s="7" t="str">
        <x:v>Drilldown</x:v>
      </x:c>
      <x:c r="F78" s="7" t="str">
        <x:v>Click metric and see matching conversation set</x:v>
      </x:c>
      <x:c r="G78" s="7" t="str">
        <x:v>All metric cards route to generic Support Inbox without preserving filter.</x:v>
      </x:c>
      <x:c r="H78" s="7" t="str">
        <x:v>Deep-link each metric to filtered Inbox (e.g., Active/Open, Resolved, Awaiting Reply).</x:v>
      </x:c>
      <x:c r="I78" s="7" t="str">
        <x:v>Efficiency; visibility</x:v>
      </x:c>
      <x:c r="J78" s="7" t="str">
        <x:v>R01,R11</x:v>
      </x:c>
      <x:c r="K78" s="7" t="str"/>
      <x:c r="L78" s="7" t="str">
        <x:v>Open</x:v>
      </x:c>
      <x:c r="M78" s="7" t="str"/>
      <x:c r="N78" s="7" t="str"/>
    </x:row>
    <x:row r="79">
      <x:c r="A79" s="7" t="str">
        <x:v>GAP-078</x:v>
      </x:c>
      <x:c r="B79" s="7" t="str">
        <x:v>Customer Service</x:v>
      </x:c>
      <x:c r="C79" s="7" t="str">
        <x:v>P0</x:v>
      </x:c>
      <x:c r="D79" s="7" t="str">
        <x:v>Critical</x:v>
      </x:c>
      <x:c r="E79" s="7" t="str">
        <x:v>Search</x:v>
      </x:c>
      <x:c r="F79" s="7" t="str">
        <x:v>Find a conversation by customer/order</x:v>
      </x:c>
      <x:c r="G79" s="7" t="str">
        <x:v>Conversation list shows 'Cari conversation...' input but no bound state/filter logic.</x:v>
      </x:c>
      <x:c r="H79" s="7" t="str">
        <x:v>Implement search and keyboard shortcut; index common identifiers.</x:v>
      </x:c>
      <x:c r="I79" s="7" t="str">
        <x:v>Efficiency; avoid dead controls</x:v>
      </x:c>
      <x:c r="J79" s="7" t="str">
        <x:v>R01,R09</x:v>
      </x:c>
      <x:c r="K79" s="7" t="str"/>
      <x:c r="L79" s="7" t="str">
        <x:v>Open</x:v>
      </x:c>
      <x:c r="M79" s="7" t="str"/>
      <x:c r="N79" s="7" t="str"/>
    </x:row>
    <x:row r="80">
      <x:c r="A80" s="7" t="str">
        <x:v>GAP-079</x:v>
      </x:c>
      <x:c r="B80" s="7" t="str">
        <x:v>Customer Service</x:v>
      </x:c>
      <x:c r="C80" s="7" t="str">
        <x:v>P0</x:v>
      </x:c>
      <x:c r="D80" s="7" t="str">
        <x:v>Critical</x:v>
      </x:c>
      <x:c r="E80" s="7" t="str">
        <x:v>Views/Filters</x:v>
      </x:c>
      <x:c r="F80" s="7" t="str">
        <x:v>Filter queue by status/team/tag</x:v>
      </x:c>
      <x:c r="G80" s="7" t="str">
        <x:v>No inbox status/team/tag filter UI is evident.</x:v>
      </x:c>
      <x:c r="H80" s="7" t="str">
        <x:v>Add My Open, Unassigned, Waiting Customer, Resolved + team/tag filters.</x:v>
      </x:c>
      <x:c r="I80" s="7" t="str">
        <x:v>Support queue efficiency</x:v>
      </x:c>
      <x:c r="J80" s="7" t="str">
        <x:v>R09</x:v>
      </x:c>
      <x:c r="K80" s="7" t="str"/>
      <x:c r="L80" s="7" t="str">
        <x:v>Open</x:v>
      </x:c>
      <x:c r="M80" s="7" t="str"/>
      <x:c r="N80" s="7" t="str"/>
    </x:row>
    <x:row r="81">
      <x:c r="A81" s="7" t="str">
        <x:v>GAP-080</x:v>
      </x:c>
      <x:c r="B81" s="7" t="str">
        <x:v>Customer Service</x:v>
      </x:c>
      <x:c r="C81" s="7" t="str">
        <x:v>P0</x:v>
      </x:c>
      <x:c r="D81" s="7" t="str">
        <x:v>Critical</x:v>
      </x:c>
      <x:c r="E81" s="7" t="str">
        <x:v>SLA Priority</x:v>
      </x:c>
      <x:c r="F81" s="7" t="str">
        <x:v>Know which conversation needs response first</x:v>
      </x:c>
      <x:c r="G81" s="7" t="str">
        <x:v>No SLA timers/sorting are present.</x:v>
      </x:c>
      <x:c r="H81" s="7" t="str">
        <x:v>Add FRT/NRT targets, countdown/breach state and SLA sorting.</x:v>
      </x:c>
      <x:c r="I81" s="7" t="str">
        <x:v>Time-critical queue management</x:v>
      </x:c>
      <x:c r="J81" s="7" t="str">
        <x:v>R11</x:v>
      </x:c>
      <x:c r="K81" s="7" t="str"/>
      <x:c r="L81" s="7" t="str">
        <x:v>Open</x:v>
      </x:c>
      <x:c r="M81" s="7" t="str"/>
      <x:c r="N81" s="7" t="str"/>
    </x:row>
    <x:row r="82">
      <x:c r="A82" s="7" t="str">
        <x:v>GAP-081</x:v>
      </x:c>
      <x:c r="B82" s="7" t="str">
        <x:v>Customer Service</x:v>
      </x:c>
      <x:c r="C82" s="7" t="str">
        <x:v>P0</x:v>
      </x:c>
      <x:c r="D82" s="7" t="str">
        <x:v>Critical</x:v>
      </x:c>
      <x:c r="E82" s="7" t="str">
        <x:v>Unread State</x:v>
      </x:c>
      <x:c r="F82" s="7" t="str">
        <x:v>Distinguish new/unread from already seen conversations</x:v>
      </x:c>
      <x:c r="G82" s="7" t="str">
        <x:v>No explicit unread/read indicator is evident in conversation list.</x:v>
      </x:c>
      <x:c r="H82" s="7" t="str">
        <x:v>Add unread count/bold state and mark-as-read behavior.</x:v>
      </x:c>
      <x:c r="I82" s="7" t="str">
        <x:v>Visibility of status</x:v>
      </x:c>
      <x:c r="J82" s="7" t="str">
        <x:v>R01</x:v>
      </x:c>
      <x:c r="K82" s="7" t="str"/>
      <x:c r="L82" s="7" t="str">
        <x:v>Open</x:v>
      </x:c>
      <x:c r="M82" s="7" t="str"/>
      <x:c r="N82" s="7" t="str"/>
    </x:row>
    <x:row r="83">
      <x:c r="A83" s="7" t="str">
        <x:v>GAP-082</x:v>
      </x:c>
      <x:c r="B83" s="7" t="str">
        <x:v>Customer Service</x:v>
      </x:c>
      <x:c r="C83" s="7" t="str">
        <x:v>P1</x:v>
      </x:c>
      <x:c r="D83" s="7" t="str">
        <x:v>Medium</x:v>
      </x:c>
      <x:c r="E83" s="7" t="str">
        <x:v>Assignment</x:v>
      </x:c>
      <x:c r="F83" s="7" t="str">
        <x:v>Know who owns the conversation</x:v>
      </x:c>
      <x:c r="G83" s="7" t="str">
        <x:v>Backend assigns CS using workload; current list/profile does not prominently display assignee.</x:v>
      </x:c>
      <x:c r="H83" s="7" t="str">
        <x:v>Show assignee in header/profile and support reassignment/transfer with history.</x:v>
      </x:c>
      <x:c r="I83" s="7" t="str">
        <x:v>Ownership visibility</x:v>
      </x:c>
      <x:c r="J83" s="7" t="str">
        <x:v>R10,R12</x:v>
      </x:c>
      <x:c r="K83" s="7" t="str"/>
      <x:c r="L83" s="7" t="str">
        <x:v>Open</x:v>
      </x:c>
      <x:c r="M83" s="7" t="str"/>
      <x:c r="N83" s="7" t="str"/>
    </x:row>
    <x:row r="84">
      <x:c r="A84" s="7" t="str">
        <x:v>GAP-083</x:v>
      </x:c>
      <x:c r="B84" s="7" t="str">
        <x:v>Customer Service</x:v>
      </x:c>
      <x:c r="C84" s="7" t="str">
        <x:v>P0</x:v>
      </x:c>
      <x:c r="D84" s="7" t="str">
        <x:v>Critical</x:v>
      </x:c>
      <x:c r="E84" s="7" t="str">
        <x:v>Status</x:v>
      </x:c>
      <x:c r="F84" s="7" t="str">
        <x:v>Change Open/Pending/Resolved from conversation</x:v>
      </x:c>
      <x:c r="G84" s="7" t="str">
        <x:v>Backend PATCH status exists, but current CS Inbox UI only displays status and exposes no status control.</x:v>
      </x:c>
      <x:c r="H84" s="7" t="str">
        <x:v>Add status dropdown/actions in conversation header; include Resolved, Pending/Waiting, Reopen.</x:v>
      </x:c>
      <x:c r="I84" s="7" t="str">
        <x:v>User control; workflow visibility</x:v>
      </x:c>
      <x:c r="J84" s="7" t="str">
        <x:v>R01,R09</x:v>
      </x:c>
      <x:c r="K84" s="7" t="str"/>
      <x:c r="L84" s="7" t="str">
        <x:v>Open</x:v>
      </x:c>
      <x:c r="M84" s="7" t="str"/>
      <x:c r="N84" s="7" t="str"/>
    </x:row>
    <x:row r="85">
      <x:c r="A85" s="7" t="str">
        <x:v>GAP-084</x:v>
      </x:c>
      <x:c r="B85" s="7" t="str">
        <x:v>Customer Service</x:v>
      </x:c>
      <x:c r="C85" s="7" t="str">
        <x:v>P0</x:v>
      </x:c>
      <x:c r="D85" s="7" t="str">
        <x:v>High</x:v>
      </x:c>
      <x:c r="E85" s="7" t="str">
        <x:v>Reply</x:v>
      </x:c>
      <x:c r="F85" s="7" t="str">
        <x:v>Send a reply and see it immediately</x:v>
      </x:c>
      <x:c r="G85" s="7" t="str">
        <x:v>Reply composer posts and refreshes conversation list.</x:v>
      </x:c>
      <x:c r="H85" s="7" t="str">
        <x:v>Use optimistic message state + failure retry; preserve text if API fails.</x:v>
      </x:c>
      <x:c r="I85" s="7" t="str">
        <x:v>Visibility; error recovery</x:v>
      </x:c>
      <x:c r="J85" s="7" t="str">
        <x:v>R01</x:v>
      </x:c>
      <x:c r="K85" s="7" t="str"/>
      <x:c r="L85" s="7" t="str">
        <x:v>Open</x:v>
      </x:c>
      <x:c r="M85" s="7" t="str"/>
      <x:c r="N85" s="7" t="str"/>
    </x:row>
    <x:row r="86">
      <x:c r="A86" s="7" t="str">
        <x:v>GAP-085</x:v>
      </x:c>
      <x:c r="B86" s="7" t="str">
        <x:v>Customer Service</x:v>
      </x:c>
      <x:c r="C86" s="7" t="str">
        <x:v>P0</x:v>
      </x:c>
      <x:c r="D86" s="7" t="str">
        <x:v>Critical</x:v>
      </x:c>
      <x:c r="E86" s="7" t="str">
        <x:v>Order Context</x:v>
      </x:c>
      <x:c r="F86" s="7" t="str">
        <x:v>Understand purchase/project without switching modules</x:v>
      </x:c>
      <x:c r="G86" s="7" t="str">
        <x:v>Profile only exposes raw order_id plus basic conversation fields.</x:v>
      </x:c>
      <x:c r="H86" s="7" t="str">
        <x:v>Embed order/template/payment/assigned Designer/task summary with deep links.</x:v>
      </x:c>
      <x:c r="I86" s="7" t="str">
        <x:v>Contextual efficiency</x:v>
      </x:c>
      <x:c r="J86" s="7" t="str">
        <x:v>R01,R12</x:v>
      </x:c>
      <x:c r="K86" s="7" t="str"/>
      <x:c r="L86" s="7" t="str">
        <x:v>Open</x:v>
      </x:c>
      <x:c r="M86" s="7" t="str"/>
      <x:c r="N86" s="7" t="str"/>
    </x:row>
    <x:row r="87">
      <x:c r="A87" s="7" t="str">
        <x:v>GAP-086</x:v>
      </x:c>
      <x:c r="B87" s="7" t="str">
        <x:v>Customer Service</x:v>
      </x:c>
      <x:c r="C87" s="7" t="str">
        <x:v>P1</x:v>
      </x:c>
      <x:c r="D87" s="7" t="str">
        <x:v>High</x:v>
      </x:c>
      <x:c r="E87" s="7" t="str">
        <x:v>Conversation Events</x:v>
      </x:c>
      <x:c r="F87" s="7" t="str">
        <x:v>Know assignment/status/history changes</x:v>
      </x:c>
      <x:c r="G87" s="7" t="str">
        <x:v>Only message bodies/timestamps are rendered.</x:v>
      </x:c>
      <x:c r="H87" s="7" t="str">
        <x:v>Add conversation event timeline/audit events.</x:v>
      </x:c>
      <x:c r="I87" s="7" t="str">
        <x:v>Context/history</x:v>
      </x:c>
      <x:c r="J87" s="7" t="str">
        <x:v>R12</x:v>
      </x:c>
      <x:c r="K87" s="7" t="str"/>
      <x:c r="L87" s="7" t="str">
        <x:v>Open</x:v>
      </x:c>
      <x:c r="M87" s="7" t="str"/>
      <x:c r="N87" s="7" t="str"/>
    </x:row>
    <x:row r="88">
      <x:c r="A88" s="7" t="str">
        <x:v>GAP-087</x:v>
      </x:c>
      <x:c r="B88" s="7" t="str">
        <x:v>Customer Service</x:v>
      </x:c>
      <x:c r="C88" s="7" t="str">
        <x:v>P1</x:v>
      </x:c>
      <x:c r="D88" s="7" t="str">
        <x:v>High</x:v>
      </x:c>
      <x:c r="E88" s="7" t="str">
        <x:v>Internal Notes</x:v>
      </x:c>
      <x:c r="F88" s="7" t="str">
        <x:v>Collaborate without sending note to customer</x:v>
      </x:c>
      <x:c r="G88" s="7" t="str">
        <x:v>No internal-note mode is evident.</x:v>
      </x:c>
      <x:c r="H88" s="7" t="str">
        <x:v>Add internal note with distinct visual treatment and author/timestamp.</x:v>
      </x:c>
      <x:c r="I88" s="7" t="str">
        <x:v>Team collaboration</x:v>
      </x:c>
      <x:c r="J88" s="7" t="str">
        <x:v>R12</x:v>
      </x:c>
      <x:c r="K88" s="7" t="str"/>
      <x:c r="L88" s="7" t="str">
        <x:v>Open</x:v>
      </x:c>
      <x:c r="M88" s="7" t="str"/>
      <x:c r="N88" s="7" t="str"/>
    </x:row>
    <x:row r="89">
      <x:c r="A89" s="7" t="str">
        <x:v>GAP-088</x:v>
      </x:c>
      <x:c r="B89" s="7" t="str">
        <x:v>Customer Service</x:v>
      </x:c>
      <x:c r="C89" s="7" t="str">
        <x:v>P1</x:v>
      </x:c>
      <x:c r="D89" s="7" t="str">
        <x:v>High</x:v>
      </x:c>
      <x:c r="E89" s="7" t="str">
        <x:v>Tags</x:v>
      </x:c>
      <x:c r="F89" s="7" t="str">
        <x:v>Categorize conversations</x:v>
      </x:c>
      <x:c r="G89" s="7" t="str">
        <x:v>No tag UI is evident.</x:v>
      </x:c>
      <x:c r="H89" s="7" t="str">
        <x:v>Add tags with admin-managed taxonomy and filter support.</x:v>
      </x:c>
      <x:c r="I89" s="7" t="str">
        <x:v>Queue organization</x:v>
      </x:c>
      <x:c r="J89" s="7" t="str">
        <x:v>R09,R12</x:v>
      </x:c>
      <x:c r="K89" s="7" t="str"/>
      <x:c r="L89" s="7" t="str">
        <x:v>Open</x:v>
      </x:c>
      <x:c r="M89" s="7" t="str"/>
      <x:c r="N89" s="7" t="str"/>
    </x:row>
    <x:row r="90">
      <x:c r="A90" s="7" t="str">
        <x:v>GAP-089</x:v>
      </x:c>
      <x:c r="B90" s="7" t="str">
        <x:v>Customer Service</x:v>
      </x:c>
      <x:c r="C90" s="7" t="str">
        <x:v>P1</x:v>
      </x:c>
      <x:c r="D90" s="7" t="str">
        <x:v>High</x:v>
      </x:c>
      <x:c r="E90" s="7" t="str">
        <x:v>Canned Replies</x:v>
      </x:c>
      <x:c r="F90" s="7" t="str">
        <x:v>Answer repetitive questions efficiently</x:v>
      </x:c>
      <x:c r="G90" s="7" t="str">
        <x:v>No macro/canned reply UI is evident.</x:v>
      </x:c>
      <x:c r="H90" s="7" t="str">
        <x:v>Add saved replies for onboarding, payment confirmation, content requests and follow-up.</x:v>
      </x:c>
      <x:c r="I90" s="7" t="str">
        <x:v>Efficiency</x:v>
      </x:c>
      <x:c r="J90" s="7" t="str">
        <x:v>R01</x:v>
      </x:c>
      <x:c r="K90" s="7" t="str"/>
      <x:c r="L90" s="7" t="str">
        <x:v>Open</x:v>
      </x:c>
      <x:c r="M90" s="7" t="str"/>
      <x:c r="N90" s="7" t="str"/>
    </x:row>
    <x:row r="91">
      <x:c r="A91" s="7" t="str">
        <x:v>GAP-090</x:v>
      </x:c>
      <x:c r="B91" s="7" t="str">
        <x:v>Customer Service</x:v>
      </x:c>
      <x:c r="C91" s="7" t="str">
        <x:v>P1</x:v>
      </x:c>
      <x:c r="D91" s="7" t="str">
        <x:v>High</x:v>
      </x:c>
      <x:c r="E91" s="7" t="str">
        <x:v>Snooze / Waiting</x:v>
      </x:c>
      <x:c r="F91" s="7" t="str">
        <x:v>Temporarily remove conversations awaiting customer action</x:v>
      </x:c>
      <x:c r="G91" s="7" t="str">
        <x:v>Task status has Waiting Customer, but conversation workflow has no snooze UI.</x:v>
      </x:c>
      <x:c r="H91" s="7" t="str">
        <x:v>Add Waiting Customer/Snooze with due time and automatic resurfacing.</x:v>
      </x:c>
      <x:c r="I91" s="7" t="str">
        <x:v>Queue management</x:v>
      </x:c>
      <x:c r="J91" s="7" t="str">
        <x:v>R09</x:v>
      </x:c>
      <x:c r="K91" s="7" t="str"/>
      <x:c r="L91" s="7" t="str">
        <x:v>Open</x:v>
      </x:c>
      <x:c r="M91" s="7" t="str"/>
      <x:c r="N91" s="7" t="str"/>
    </x:row>
    <x:row r="92">
      <x:c r="A92" s="7" t="str">
        <x:v>GAP-091</x:v>
      </x:c>
      <x:c r="B92" s="7" t="str">
        <x:v>Customer Service</x:v>
      </x:c>
      <x:c r="C92" s="7" t="str">
        <x:v>P1</x:v>
      </x:c>
      <x:c r="D92" s="7" t="str">
        <x:v>Medium</x:v>
      </x:c>
      <x:c r="E92" s="7" t="str">
        <x:v>Outbound</x:v>
      </x:c>
      <x:c r="F92" s="7" t="str">
        <x:v>Start a proactive message to Customer</x:v>
      </x:c>
      <x:c r="G92" s="7" t="str">
        <x:v>Message User dialog selects user and sends Web/email-outbox message.</x:v>
      </x:c>
      <x:c r="H92" s="7" t="str">
        <x:v>Add search in recipient selector and limit to role scope/assigned customers where appropriate.</x:v>
      </x:c>
      <x:c r="I92" s="7" t="str">
        <x:v>Efficiency; least privilege</x:v>
      </x:c>
      <x:c r="J92" s="7" t="str">
        <x:v>R15,R16</x:v>
      </x:c>
      <x:c r="K92" s="7" t="str"/>
      <x:c r="L92" s="7" t="str">
        <x:v>Open</x:v>
      </x:c>
      <x:c r="M92" s="7" t="str"/>
      <x:c r="N92" s="7" t="str"/>
    </x:row>
    <x:row r="93">
      <x:c r="A93" s="7" t="str">
        <x:v>GAP-092</x:v>
      </x:c>
      <x:c r="B93" s="7" t="str">
        <x:v>Customer Service</x:v>
      </x:c>
      <x:c r="C93" s="7" t="str">
        <x:v>P1</x:v>
      </x:c>
      <x:c r="D93" s="7" t="str">
        <x:v>High</x:v>
      </x:c>
      <x:c r="E93" s="7" t="str">
        <x:v>WhatsApp</x:v>
      </x:c>
      <x:c r="F93" s="7" t="str">
        <x:v>Contact customer via WhatsApp from captured phone</x:v>
      </x:c>
      <x:c r="G93" s="7" t="str">
        <x:v>Phone is captured, but no direct WhatsApp action/integration is evident.</x:v>
      </x:c>
      <x:c r="H93" s="7" t="str">
        <x:v>Add WhatsApp deep-link/integration with event logging, subject to consent/policy.</x:v>
      </x:c>
      <x:c r="I93" s="7" t="str">
        <x:v>Match operational workflow</x:v>
      </x:c>
      <x:c r="J93" s="7" t="str">
        <x:v>R01</x:v>
      </x:c>
      <x:c r="K93" s="7" t="str"/>
      <x:c r="L93" s="7" t="str">
        <x:v>Open</x:v>
      </x:c>
      <x:c r="M93" s="7" t="str"/>
      <x:c r="N93" s="7" t="str"/>
    </x:row>
    <x:row r="94">
      <x:c r="A94" s="7" t="str">
        <x:v>GAP-093</x:v>
      </x:c>
      <x:c r="B94" s="7" t="str">
        <x:v>Customer Service</x:v>
      </x:c>
      <x:c r="C94" s="7" t="str">
        <x:v>P1</x:v>
      </x:c>
      <x:c r="D94" s="7" t="str">
        <x:v>High</x:v>
      </x:c>
      <x:c r="E94" s="7" t="str">
        <x:v>Email</x:v>
      </x:c>
      <x:c r="F94" s="7" t="str">
        <x:v>Know when reply/receipt email was sent or failed</x:v>
      </x:c>
      <x:c r="G94" s="7" t="str">
        <x:v>Replies queue email but CS UI does not show email delivery state.</x:v>
      </x:c>
      <x:c r="H94" s="7" t="str">
        <x:v>Expose relevant email outbox status/error on conversation/order timeline.</x:v>
      </x:c>
      <x:c r="I94" s="7" t="str">
        <x:v>Visibility; error recovery</x:v>
      </x:c>
      <x:c r="J94" s="7" t="str">
        <x:v>R01</x:v>
      </x:c>
      <x:c r="K94" s="7" t="str"/>
      <x:c r="L94" s="7" t="str">
        <x:v>Open</x:v>
      </x:c>
      <x:c r="M94" s="7" t="str"/>
      <x:c r="N94" s="7" t="str"/>
    </x:row>
    <x:row r="95">
      <x:c r="A95" s="7" t="str">
        <x:v>GAP-094</x:v>
      </x:c>
      <x:c r="B95" s="7" t="str">
        <x:v>Customer Service</x:v>
      </x:c>
      <x:c r="C95" s="7" t="str">
        <x:v>P1</x:v>
      </x:c>
      <x:c r="D95" s="7" t="str">
        <x:v>High</x:v>
      </x:c>
      <x:c r="E95" s="7" t="str">
        <x:v>Collision</x:v>
      </x:c>
      <x:c r="F95" s="7" t="str">
        <x:v>Avoid two agents replying simultaneously</x:v>
      </x:c>
      <x:c r="G95" s="7" t="str">
        <x:v>No agent presence/collision detection is evident.</x:v>
      </x:c>
      <x:c r="H95" s="7" t="str">
        <x:v>Add conversation lock/presence or at least 'currently handled by' state.</x:v>
      </x:c>
      <x:c r="I95" s="7" t="str">
        <x:v>Error prevention; collaboration</x:v>
      </x:c>
      <x:c r="J95" s="7" t="str">
        <x:v>R01,R12</x:v>
      </x:c>
      <x:c r="K95" s="7" t="str"/>
      <x:c r="L95" s="7" t="str">
        <x:v>Open</x:v>
      </x:c>
      <x:c r="M95" s="7" t="str"/>
      <x:c r="N95" s="7" t="str"/>
    </x:row>
    <x:row r="96">
      <x:c r="A96" s="7" t="str">
        <x:v>GAP-095</x:v>
      </x:c>
      <x:c r="B96" s="7" t="str">
        <x:v>Customer Service</x:v>
      </x:c>
      <x:c r="C96" s="7" t="str">
        <x:v>P1</x:v>
      </x:c>
      <x:c r="D96" s="7" t="str">
        <x:v>Medium</x:v>
      </x:c>
      <x:c r="E96" s="7" t="str">
        <x:v>Status</x:v>
      </x:c>
      <x:c r="F96" s="7" t="str">
        <x:v>Update task state quickly</x:v>
      </x:c>
      <x:c r="G96" s="7" t="str">
        <x:v>Task states are editable; conversation status is separate.</x:v>
      </x:c>
      <x:c r="H96" s="7" t="str">
        <x:v>Define relationship between Task status and Conversation status to avoid conflicting states.</x:v>
      </x:c>
      <x:c r="I96" s="7" t="str">
        <x:v>Consistency</x:v>
      </x:c>
      <x:c r="J96" s="7" t="str">
        <x:v>R01</x:v>
      </x:c>
      <x:c r="K96" s="7" t="str"/>
      <x:c r="L96" s="7" t="str">
        <x:v>Open</x:v>
      </x:c>
      <x:c r="M96" s="7" t="str"/>
      <x:c r="N96" s="7" t="str"/>
    </x:row>
    <x:row r="97">
      <x:c r="A97" s="7" t="str">
        <x:v>GAP-096</x:v>
      </x:c>
      <x:c r="B97" s="7" t="str">
        <x:v>Customer Service</x:v>
      </x:c>
      <x:c r="C97" s="7" t="str">
        <x:v>P1</x:v>
      </x:c>
      <x:c r="D97" s="7" t="str">
        <x:v>Medium</x:v>
      </x:c>
      <x:c r="E97" s="7" t="str">
        <x:v>New Chat/Task</x:v>
      </x:c>
      <x:c r="F97" s="7" t="str">
        <x:v>Notice new work without constant refreshing</x:v>
      </x:c>
      <x:c r="G97" s="7" t="str">
        <x:v>Polling-based task/chat count can trigger tone; mute is stored.</x:v>
      </x:c>
      <x:c r="H97" s="7" t="str">
        <x:v>Add unread badge/desktop notification option and deep-link to the new item.</x:v>
      </x:c>
      <x:c r="I97" s="7" t="str">
        <x:v>Visibility; user control</x:v>
      </x:c>
      <x:c r="J97" s="7" t="str">
        <x:v>R01</x:v>
      </x:c>
      <x:c r="K97" s="7" t="str"/>
      <x:c r="L97" s="7" t="str">
        <x:v>Open</x:v>
      </x:c>
      <x:c r="M97" s="7" t="str"/>
      <x:c r="N97" s="7" t="str"/>
    </x:row>
    <x:row r="98">
      <x:c r="A98" s="7" t="str">
        <x:v>GAP-097</x:v>
      </x:c>
      <x:c r="B98" s="7" t="str">
        <x:v>Customer Service</x:v>
      </x:c>
      <x:c r="C98" s="7" t="str">
        <x:v>P1</x:v>
      </x:c>
      <x:c r="D98" s="7" t="str">
        <x:v>Medium</x:v>
      </x:c>
      <x:c r="E98" s="7" t="str">
        <x:v>Minimal Exposure</x:v>
      </x:c>
      <x:c r="F98" s="7" t="str">
        <x:v>See only data required to support customer</x:v>
      </x:c>
      <x:c r="G98" s="7" t="str">
        <x:v>CS seed role contains CS dashboard/tasks/conversations/orders/articles view; no user/role management.</x:v>
      </x:c>
      <x:c r="H98" s="7" t="str">
        <x:v>Review whether articles.view and full orders.view are necessary or whether contextual order view is enough.</x:v>
      </x:c>
      <x:c r="I98" s="7" t="str">
        <x:v>Least privilege</x:v>
      </x:c>
      <x:c r="J98" s="7" t="str">
        <x:v>R15,R16</x:v>
      </x:c>
      <x:c r="K98" s="7" t="str"/>
      <x:c r="L98" s="7" t="str">
        <x:v>Open</x:v>
      </x:c>
      <x:c r="M98" s="7" t="str"/>
      <x:c r="N98" s="7" t="str"/>
    </x:row>
  </x:sheetData>
  <x:conditionalFormatting sqref="D2:D98">
    <x:cfRule type="expression" dxfId="36" priority="1">
      <x:formula>D2="Critical"</x:formula>
    </x:cfRule>
    <x:cfRule type="expression" dxfId="37" priority="2">
      <x:formula>D2="High"</x:formula>
    </x:cfRule>
  </x:conditionalFormatting>
  <x:dataValidations count="1">
    <x:dataValidation type="list" sqref="L2:L98">
      <x:formula1>"Open,Planned,In Progress,Ready to Retest,Closed,Accepted Risk"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9" hidden="0" customWidth="1"/>
    <x:col min="3" max="3" width="22" hidden="0" customWidth="1"/>
    <x:col min="4" max="4" width="27" hidden="0" customWidth="1"/>
    <x:col min="5" max="5" width="24" hidden="0" customWidth="1"/>
    <x:col min="6" max="6" width="25" hidden="0" customWidth="1"/>
    <x:col min="7" max="7" width="58" hidden="0" customWidth="1"/>
  </x:cols>
  <x:sheetData>
    <x:row r="1" ht="28" customHeight="1">
      <x:c r="A1" s="6" t="str">
        <x:v>Feature / Journey</x:v>
      </x:c>
      <x:c r="B1" s="6" t="str">
        <x:v>Viewer</x:v>
      </x:c>
      <x:c r="C1" s="6" t="str">
        <x:v>Customer</x:v>
      </x:c>
      <x:c r="D1" s="6" t="str">
        <x:v>Web Designer</x:v>
      </x:c>
      <x:c r="E1" s="6" t="str">
        <x:v>Administrator</x:v>
      </x:c>
      <x:c r="F1" s="6" t="str">
        <x:v>Customer Service</x:v>
      </x:c>
      <x:c r="G1" s="6" t="str">
        <x:v>UX Note</x:v>
      </x:c>
    </x:row>
    <x:row r="2">
      <x:c r="A2" s="7" t="str">
        <x:v>Landing Page</x:v>
      </x:c>
      <x:c r="B2" s="7" t="str">
        <x:v>Use</x:v>
      </x:c>
      <x:c r="C2" s="7" t="str">
        <x:v>Public entry only</x:v>
      </x:c>
      <x:c r="D2" s="7" t="str">
        <x:v>No need</x:v>
      </x:c>
      <x:c r="E2" s="7" t="str">
        <x:v>Oversight only</x:v>
      </x:c>
      <x:c r="F2" s="7" t="str">
        <x:v>No need</x:v>
      </x:c>
      <x:c r="G2" s="7" t="str">
        <x:v>Public-facing language must not expose technical implementation.</x:v>
      </x:c>
    </x:row>
    <x:row r="3">
      <x:c r="A3" s="7" t="str">
        <x:v>Template Catalog / Detail</x:v>
      </x:c>
      <x:c r="B3" s="7" t="str">
        <x:v>Browse / Buy</x:v>
      </x:c>
      <x:c r="C3" s="7" t="str">
        <x:v>Browse / Use</x:v>
      </x:c>
      <x:c r="D3" s="7" t="str">
        <x:v>View / Create</x:v>
      </x:c>
      <x:c r="E3" s="7" t="str">
        <x:v>Manage / Approve</x:v>
      </x:c>
      <x:c r="F3" s="7" t="str">
        <x:v>Context only</x:v>
      </x:c>
      <x:c r="G3" s="7" t="str">
        <x:v>Preview should render actual template.</x:v>
      </x:c>
    </x:row>
    <x:row r="4">
      <x:c r="A4" s="7" t="str">
        <x:v>Checkout / Payment</x:v>
      </x:c>
      <x:c r="B4" s="7" t="str">
        <x:v>Guest order</x:v>
      </x:c>
      <x:c r="C4" s="7" t="str">
        <x:v>Order</x:v>
      </x:c>
      <x:c r="D4" s="7" t="str">
        <x:v>No need</x:v>
      </x:c>
      <x:c r="E4" s="7" t="str">
        <x:v>Configure / Monitor</x:v>
      </x:c>
      <x:c r="F4" s="7" t="str">
        <x:v>View order context</x:v>
      </x:c>
      <x:c r="G4" s="7" t="str">
        <x:v>Customer/guest checkout should remain low-friction.</x:v>
      </x:c>
    </x:row>
    <x:row r="5">
      <x:c r="A5" s="7" t="str">
        <x:v>Registration / Email Verify</x:v>
      </x:c>
      <x:c r="B5" s="7" t="str">
        <x:v>Register</x:v>
      </x:c>
      <x:c r="C5" s="7" t="str">
        <x:v>Use</x:v>
      </x:c>
      <x:c r="D5" s="7" t="str">
        <x:v>Account provisioned</x:v>
      </x:c>
      <x:c r="E5" s="7" t="str">
        <x:v>Manage accounts</x:v>
      </x:c>
      <x:c r="F5" s="7" t="str">
        <x:v>Account provisioned</x:v>
      </x:c>
      <x:c r="G5" s="7" t="str">
        <x:v>Production needs recovery/resend and no debug helpers.</x:v>
      </x:c>
    </x:row>
    <x:row r="6">
      <x:c r="A6" s="7" t="str">
        <x:v>Customer Dashboard</x:v>
      </x:c>
      <x:c r="B6" s="7" t="str">
        <x:v>No access</x:v>
      </x:c>
      <x:c r="C6" s="7" t="str">
        <x:v>Primary</x:v>
      </x:c>
      <x:c r="D6" s="7" t="str">
        <x:v>Managed-client context</x:v>
      </x:c>
      <x:c r="E6" s="7" t="str">
        <x:v>Oversight</x:v>
      </x:c>
      <x:c r="F6" s="7" t="str">
        <x:v>No access</x:v>
      </x:c>
      <x:c r="G6" s="7" t="str">
        <x:v>Needs project/order status, not only Canvas metrics.</x:v>
      </x:c>
    </x:row>
    <x:row r="7">
      <x:c r="A7" s="7" t="str">
        <x:v>Templates &amp; Website Designs</x:v>
      </x:c>
      <x:c r="B7" s="7" t="str">
        <x:v>No access</x:v>
      </x:c>
      <x:c r="C7" s="7" t="str">
        <x:v>Primary</x:v>
      </x:c>
      <x:c r="D7" s="7" t="str">
        <x:v>Primary</x:v>
      </x:c>
      <x:c r="E7" s="7" t="str">
        <x:v>Manage</x:v>
      </x:c>
      <x:c r="F7" s="7" t="str">
        <x:v>No access</x:v>
      </x:c>
      <x:c r="G7" s="7" t="str">
        <x:v>Customer mental model should be website/design, not internal structure.</x:v>
      </x:c>
    </x:row>
    <x:row r="8">
      <x:c r="A8" s="7" t="str">
        <x:v>Canvas Editor</x:v>
      </x:c>
      <x:c r="B8" s="7" t="str">
        <x:v>No access</x:v>
      </x:c>
      <x:c r="C8" s="7" t="str">
        <x:v>Own site</x:v>
      </x:c>
      <x:c r="D8" s="7" t="str">
        <x:v>Assigned sites / templates</x:v>
      </x:c>
      <x:c r="E8" s="7" t="str">
        <x:v>Optional superuser</x:v>
      </x:c>
      <x:c r="F8" s="7" t="str">
        <x:v>No access</x:v>
      </x:c>
      <x:c r="G8" s="7" t="str">
        <x:v>Designer needs autosave/revisions/undo.</x:v>
      </x:c>
    </x:row>
    <x:row r="9">
      <x:c r="A9" s="7" t="str">
        <x:v>Site Pages / List Undangan</x:v>
      </x:c>
      <x:c r="B9" s="7" t="str">
        <x:v>Invitation guest submits</x:v>
      </x:c>
      <x:c r="C9" s="7" t="str">
        <x:v>Manage</x:v>
      </x:c>
      <x:c r="D9" s="7" t="str">
        <x:v>Manage assigned</x:v>
      </x:c>
      <x:c r="E9" s="7" t="str">
        <x:v>Optional</x:v>
      </x:c>
      <x:c r="F9" s="7" t="str">
        <x:v>No access</x:v>
      </x:c>
      <x:c r="G9" s="7" t="str">
        <x:v>CSV import needs preview/validation.</x:v>
      </x:c>
    </x:row>
    <x:row r="10">
      <x:c r="A10" s="7" t="str">
        <x:v>RSVP / Greetings</x:v>
      </x:c>
      <x:c r="B10" s="7" t="str">
        <x:v>Submit</x:v>
      </x:c>
      <x:c r="C10" s="7" t="str">
        <x:v>Analyze</x:v>
      </x:c>
      <x:c r="D10" s="7" t="str">
        <x:v>Manage content</x:v>
      </x:c>
      <x:c r="E10" s="7" t="str">
        <x:v>Oversight</x:v>
      </x:c>
      <x:c r="F10" s="7" t="str">
        <x:v>Support context only</x:v>
      </x:c>
      <x:c r="G10" s="7" t="str">
        <x:v>Viewer confirmation and Customer aggregate analytics matter.</x:v>
      </x:c>
    </x:row>
    <x:row r="11">
      <x:c r="A11" s="7" t="str">
        <x:v>Live Chat</x:v>
      </x:c>
      <x:c r="B11" s="7" t="str">
        <x:v>Use</x:v>
      </x:c>
      <x:c r="C11" s="7" t="str">
        <x:v>Use</x:v>
      </x:c>
      <x:c r="D11" s="7" t="str">
        <x:v>Project messaging</x:v>
      </x:c>
      <x:c r="E11" s="7" t="str">
        <x:v>Oversight</x:v>
      </x:c>
      <x:c r="F11" s="7" t="str">
        <x:v>Primary</x:v>
      </x:c>
      <x:c r="G11" s="7" t="str">
        <x:v>All sent messages need persistent/error states.</x:v>
      </x:c>
    </x:row>
    <x:row r="12">
      <x:c r="A12" s="7" t="str">
        <x:v>CS Dashboard / Inbox</x:v>
      </x:c>
      <x:c r="B12" s="7" t="str">
        <x:v>No access</x:v>
      </x:c>
      <x:c r="C12" s="7" t="str">
        <x:v>Own thread only</x:v>
      </x:c>
      <x:c r="D12" s="7" t="str">
        <x:v>Assigned-project messaging only</x:v>
      </x:c>
      <x:c r="E12" s="7" t="str">
        <x:v>Full oversight</x:v>
      </x:c>
      <x:c r="F12" s="7" t="str">
        <x:v>Primary</x:v>
      </x:c>
      <x:c r="G12" s="7" t="str">
        <x:v>CS currently lacks search/filter/SLA/status controls.</x:v>
      </x:c>
    </x:row>
    <x:row r="13">
      <x:c r="A13" s="7" t="str">
        <x:v>Tasks &amp; Tickets</x:v>
      </x:c>
      <x:c r="B13" s="7" t="str">
        <x:v>No access</x:v>
      </x:c>
      <x:c r="C13" s="7" t="str">
        <x:v>Project timeline view recommended</x:v>
      </x:c>
      <x:c r="D13" s="7" t="str">
        <x:v>Assigned work</x:v>
      </x:c>
      <x:c r="E13" s="7" t="str">
        <x:v>Full</x:v>
      </x:c>
      <x:c r="F13" s="7" t="str">
        <x:v>Assigned work</x:v>
      </x:c>
      <x:c r="G13" s="7" t="str">
        <x:v>Customer should see milestone status without internal task complexity.</x:v>
      </x:c>
    </x:row>
    <x:row r="14">
      <x:c r="A14" s="7" t="str">
        <x:v>Client Assignment</x:v>
      </x:c>
      <x:c r="B14" s="7" t="str">
        <x:v>No access</x:v>
      </x:c>
      <x:c r="C14" s="7" t="str">
        <x:v>No access</x:v>
      </x:c>
      <x:c r="D14" s="7" t="str">
        <x:v>My clients / assign if allowed</x:v>
      </x:c>
      <x:c r="E14" s="7" t="str">
        <x:v>Manage</x:v>
      </x:c>
      <x:c r="F14" s="7" t="str">
        <x:v>No access</x:v>
      </x:c>
      <x:c r="G14" s="7" t="str">
        <x:v>Least privilege and persistent client context.</x:v>
      </x:c>
    </x:row>
    <x:row r="15">
      <x:c r="A15" s="7" t="str">
        <x:v>Template Approval</x:v>
      </x:c>
      <x:c r="B15" s="7" t="str">
        <x:v>No access</x:v>
      </x:c>
      <x:c r="C15" s="7" t="str">
        <x:v>No access</x:v>
      </x:c>
      <x:c r="D15" s="7" t="str">
        <x:v>Submit / track</x:v>
      </x:c>
      <x:c r="E15" s="7" t="str">
        <x:v>Approve / Reject</x:v>
      </x:c>
      <x:c r="F15" s="7" t="str">
        <x:v>No access</x:v>
      </x:c>
      <x:c r="G15" s="7" t="str">
        <x:v>Feedback should deep-link to resubmission.</x:v>
      </x:c>
    </x:row>
    <x:row r="16">
      <x:c r="A16" s="7" t="str">
        <x:v>Article CMS</x:v>
      </x:c>
      <x:c r="B16" s="7" t="str">
        <x:v>Read public</x:v>
      </x:c>
      <x:c r="C16" s="7" t="str">
        <x:v>Read</x:v>
      </x:c>
      <x:c r="D16" s="7" t="str">
        <x:v>Only if job requires</x:v>
      </x:c>
      <x:c r="E16" s="7" t="str">
        <x:v>Manage</x:v>
      </x:c>
      <x:c r="F16" s="7" t="str">
        <x:v>Read only if useful</x:v>
      </x:c>
      <x:c r="G16" s="7" t="str">
        <x:v>Search field currently needs wiring; editor permission should be reviewed.</x:v>
      </x:c>
    </x:row>
    <x:row r="17">
      <x:c r="A17" s="7" t="str">
        <x:v>Sound Library</x:v>
      </x:c>
      <x:c r="B17" s="7" t="str">
        <x:v>Public playback</x:v>
      </x:c>
      <x:c r="C17" s="7" t="str">
        <x:v>Choose / Upload</x:v>
      </x:c>
      <x:c r="D17" s="7" t="str">
        <x:v>Choose / Upload</x:v>
      </x:c>
      <x:c r="E17" s="7" t="str">
        <x:v>Manage catalog</x:v>
      </x:c>
      <x:c r="F17" s="7" t="str">
        <x:v>No access</x:v>
      </x:c>
      <x:c r="G17" s="7" t="str">
        <x:v>Deletion should protect referenced assets.</x:v>
      </x:c>
    </x:row>
    <x:row r="18">
      <x:c r="A18" s="7" t="str">
        <x:v>Payment Settings</x:v>
      </x:c>
      <x:c r="B18" s="7" t="str">
        <x:v>No access</x:v>
      </x:c>
      <x:c r="C18" s="7" t="str">
        <x:v>No access</x:v>
      </x:c>
      <x:c r="D18" s="7" t="str">
        <x:v>No access</x:v>
      </x:c>
      <x:c r="E18" s="7" t="str">
        <x:v>Manage</x:v>
      </x:c>
      <x:c r="F18" s="7" t="str">
        <x:v>No access</x:v>
      </x:c>
      <x:c r="G18" s="7" t="str">
        <x:v>Separate staging and production behavior.</x:v>
      </x:c>
    </x:row>
    <x:row r="19">
      <x:c r="A19" s="7" t="str">
        <x:v>Orders &amp; Revenue</x:v>
      </x:c>
      <x:c r="B19" s="7" t="str">
        <x:v>No access</x:v>
      </x:c>
      <x:c r="C19" s="7" t="str">
        <x:v>Own orders needed</x:v>
      </x:c>
      <x:c r="D19" s="7" t="str">
        <x:v>Assigned order context</x:v>
      </x:c>
      <x:c r="E19" s="7" t="str">
        <x:v>Full analytics</x:v>
      </x:c>
      <x:c r="F19" s="7" t="str">
        <x:v>Assigned order context</x:v>
      </x:c>
      <x:c r="G19" s="7" t="str">
        <x:v>Customer lacks My Orders/Project today.</x:v>
      </x:c>
    </x:row>
    <x:row r="20">
      <x:c r="A20" s="7" t="str">
        <x:v>Users / Roles</x:v>
      </x:c>
      <x:c r="B20" s="7" t="str">
        <x:v>No access</x:v>
      </x:c>
      <x:c r="C20" s="7" t="str">
        <x:v>Own profile</x:v>
      </x:c>
      <x:c r="D20" s="7" t="str">
        <x:v>Client assignment only</x:v>
      </x:c>
      <x:c r="E20" s="7" t="str">
        <x:v>Manage</x:v>
      </x:c>
      <x:c r="F20" s="7" t="str">
        <x:v>No access</x:v>
      </x:c>
      <x:c r="G20" s="7" t="str">
        <x:v>Use role language Customer/Web Designer/Administrator.</x:v>
      </x:c>
    </x:row>
    <x:row r="21">
      <x:c r="A21" s="7" t="str">
        <x:v>Account Settings</x:v>
      </x:c>
      <x:c r="B21" s="7" t="str">
        <x:v>No access</x:v>
      </x:c>
      <x:c r="C21" s="7" t="str">
        <x:v>Own</x:v>
      </x:c>
      <x:c r="D21" s="7" t="str">
        <x:v>Own</x:v>
      </x:c>
      <x:c r="E21" s="7" t="str">
        <x:v>Own</x:v>
      </x:c>
      <x:c r="F21" s="7" t="str">
        <x:v>Own</x:v>
      </x:c>
      <x:c r="G21" s="7" t="str">
        <x:v>Sensitive changes need stronger production re-auth policy.</x:v>
      </x:c>
    </x:row>
    <x:row r="22">
      <x:c r="A22" s="7" t="str">
        <x:v>Notification Settings</x:v>
      </x:c>
      <x:c r="B22" s="7" t="str">
        <x:v>No access</x:v>
      </x:c>
      <x:c r="C22" s="7" t="str">
        <x:v>Own</x:v>
      </x:c>
      <x:c r="D22" s="7" t="str">
        <x:v>Own</x:v>
      </x:c>
      <x:c r="E22" s="7" t="str">
        <x:v>Own</x:v>
      </x:c>
      <x:c r="F22" s="7" t="str">
        <x:v>Own</x:v>
      </x:c>
      <x:c r="G22" s="7" t="str">
        <x:v>Sound alone is insufficient; add visual notification/unread center.</x:v>
      </x:c>
    </x:row>
    <x:row r="23">
      <x:c r="A23" s="7" t="str">
        <x:v>Help Center</x:v>
      </x:c>
      <x:c r="B23" s="7" t="str">
        <x:v>Live help</x:v>
      </x:c>
      <x:c r="C23" s="7" t="str">
        <x:v>Primary</x:v>
      </x:c>
      <x:c r="D23" s="7" t="str">
        <x:v>Role-specific</x:v>
      </x:c>
      <x:c r="E23" s="7" t="str">
        <x:v>Admin docs</x:v>
      </x:c>
      <x:c r="F23" s="7" t="str">
        <x:v>Primary</x:v>
      </x:c>
      <x:c r="G23" s="7" t="str">
        <x:v>Contextual, consistent help is preferred.</x:v>
      </x:c>
    </x:row>
    <x:row r="24">
      <x:c r="A24" s="7" t="str">
        <x:v>Public Wedding URL</x:v>
      </x:c>
      <x:c r="B24" s="7" t="str">
        <x:v>Invitation guest</x:v>
      </x:c>
      <x:c r="C24" s="7" t="str">
        <x:v>Own publish</x:v>
      </x:c>
      <x:c r="D24" s="7" t="str">
        <x:v>Assigned publish</x:v>
      </x:c>
      <x:c r="E24" s="7" t="str">
        <x:v>Oversight</x:v>
      </x:c>
      <x:c r="F24" s="7" t="str">
        <x:v>Support context</x:v>
      </x:c>
      <x:c r="G24" s="7" t="str">
        <x:v>Published route should have error/social/mobile/accessibility tests.</x:v>
      </x:c>
    </x:row>
    <x:row r="25">
      <x:c r="A25" s="7" t="str">
        <x:v>Receipts</x:v>
      </x:c>
      <x:c r="B25" s="7" t="str">
        <x:v>Download</x:v>
      </x:c>
      <x:c r="C25" s="7" t="str">
        <x:v>Own history needed</x:v>
      </x:c>
      <x:c r="D25" s="7" t="str">
        <x:v>Context</x:v>
      </x:c>
      <x:c r="E25" s="7" t="str">
        <x:v>Audit</x:v>
      </x:c>
      <x:c r="F25" s="7" t="str">
        <x:v>Context</x:v>
      </x:c>
      <x:c r="G25" s="7" t="str">
        <x:v>Receipt remains critical after leaving success page.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2" hidden="0" customWidth="1"/>
    <x:col min="3" max="3" width="50" hidden="0" customWidth="1"/>
    <x:col min="4" max="4" width="28" hidden="0" customWidth="1"/>
    <x:col min="5" max="5" width="46" hidden="0" customWidth="1"/>
    <x:col min="6" max="6" width="16" hidden="0" customWidth="1"/>
  </x:cols>
  <x:sheetData>
    <x:row r="1" ht="28" customHeight="1">
      <x:c r="A1" s="13" t="str">
        <x:v>Role-Based UX QA — How to Run the Test</x:v>
      </x:c>
      <x:c r="B1" s="13"/>
      <x:c r="C1" s="13"/>
      <x:c r="D1" s="13"/>
      <x:c r="E1" s="13"/>
      <x:c r="F1" s="13"/>
    </x:row>
    <x:row r="3">
      <x:c r="A3" s="6" t="str">
        <x:v>Section</x:v>
      </x:c>
      <x:c r="B3" s="6" t="str">
        <x:v>Guidance</x:v>
      </x:c>
      <x:c r="C3" s="6" t="str">
        <x:v>Why it matters</x:v>
      </x:c>
      <x:c r="D3" s="6" t="str">
        <x:v>Record</x:v>
      </x:c>
      <x:c r="E3" s="6" t="str">
        <x:v>QA Target</x:v>
      </x:c>
      <x:c r="F3" s="6" t="str">
        <x:v>Basis</x:v>
      </x:c>
    </x:row>
    <x:row r="4">
      <x:c r="A4" s="7" t="str">
        <x:v>1. Participant</x:v>
      </x:c>
      <x:c r="B4" s="7" t="str">
        <x:v>Gunakan tester yang mewakili role nyata. Viewer/Customer tidak boleh diberi knowledge internal CMS; Web Designer/Admin/CS harus memahami job mereka, bukan source code.</x:v>
      </x:c>
      <x:c r="C4" s="7" t="str">
        <x:v>UX harus diuji pada mental model user nyata.</x:v>
      </x:c>
      <x:c r="D4" s="7" t="str">
        <x:v>Role, experience level, device/browser.</x:v>
      </x:c>
      <x:c r="E4" s="7" t="str">
        <x:v>Gunakan beberapa tester per role sebelum UAT sign-off.</x:v>
      </x:c>
      <x:c r="F4" s="7" t="str">
        <x:v>R02</x:v>
      </x:c>
    </x:row>
    <x:row r="5">
      <x:c r="A5" s="7" t="str">
        <x:v>2. Task Prompt</x:v>
      </x:c>
      <x:c r="B5" s="7" t="str">
        <x:v>Berikan tujuan, bukan langkah. Contoh: 'Cari template yang cocok dan lakukan pemesanan' — jangan bilang tombol mana yang harus diklik.</x:v>
      </x:c>
      <x:c r="C5" s="7" t="str">
        <x:v>Mengukur discoverability, bukan kemampuan mengikuti instruksi.</x:v>
      </x:c>
      <x:c r="D5" s="7" t="str">
        <x:v>Task success, path, hesitation.</x:v>
      </x:c>
      <x:c r="E5" s="7" t="str">
        <x:v>Tidak ada moderator guidance untuk P0 task.</x:v>
      </x:c>
      <x:c r="F5" s="7" t="str">
        <x:v>R01,R02</x:v>
      </x:c>
    </x:row>
    <x:row r="6">
      <x:c r="A6" s="7" t="str">
        <x:v>3. Functional Result</x:v>
      </x:c>
      <x:c r="B6" s="7" t="str">
        <x:v>Pass hanya jika fungsi menghasilkan hasil yang benar. UX bisa tetap bermasalah walaupun tombol bekerja.</x:v>
      </x:c>
      <x:c r="C6" s="7" t="str">
        <x:v>Functional QA ≠ usability.</x:v>
      </x:c>
      <x:c r="D6" s="7" t="str">
        <x:v>Pass / Fail / Blocked.</x:v>
      </x:c>
      <x:c r="E6" s="7" t="str">
        <x:v>P0 functional: 100% Pass.</x:v>
      </x:c>
      <x:c r="F6" s="7" t="str">
        <x:v>R02</x:v>
      </x:c>
    </x:row>
    <x:row r="7">
      <x:c r="A7" s="7" t="str">
        <x:v>4. Task Success</x:v>
      </x:c>
      <x:c r="B7" s="7" t="str">
        <x:v>Yes bila tester menyelesaikan tujuan tanpa moderator mengambil alih.</x:v>
      </x:c>
      <x:c r="C7" s="7" t="str">
        <x:v>Mengukur effectiveness.</x:v>
      </x:c>
      <x:c r="D7" s="7" t="str">
        <x:v>Yes / No.</x:v>
      </x:c>
      <x:c r="E7" s="7" t="str">
        <x:v>Internal target P0: ≥90% unassisted across representative testers; P1: ≥85%.</x:v>
      </x:c>
      <x:c r="F7" s="7" t="str">
        <x:v>R02</x:v>
      </x:c>
    </x:row>
    <x:row r="8">
      <x:c r="A8" s="7" t="str">
        <x:v>5. Assistance</x:v>
      </x:c>
      <x:c r="B8" s="7" t="str">
        <x:v>None = tanpa bantuan; Hint = moderator memberi petunjuk ringan; Direct = diberi langkah/tombol.</x:v>
      </x:c>
      <x:c r="C8" s="7" t="str">
        <x:v>Membedakan task yang benar-benar discoverable.</x:v>
      </x:c>
      <x:c r="D8" s="7" t="str">
        <x:v>None / Hint / Direct.</x:v>
      </x:c>
      <x:c r="E8" s="7" t="str">
        <x:v>P0 ideal: None.</x:v>
      </x:c>
      <x:c r="F8" s="7" t="str">
        <x:v>R01,R02</x:v>
      </x:c>
    </x:row>
    <x:row r="9">
      <x:c r="A9" s="7" t="str">
        <x:v>6. Time</x:v>
      </x:c>
      <x:c r="B9" s="7" t="str">
        <x:v>Catat waktu dari task dibacakan sampai tujuan selesai/ditinggalkan.</x:v>
      </x:c>
      <x:c r="C9" s="7" t="str">
        <x:v>Mengukur efficiency dan membandingkan iterasi.</x:v>
      </x:c>
      <x:c r="D9" s="7" t="str">
        <x:v>Seconds.</x:v>
      </x:c>
      <x:c r="E9" s="7" t="str">
        <x:v>Gunakan baseline per role setelah round pertama.</x:v>
      </x:c>
      <x:c r="F9" s="7" t="str">
        <x:v>R02</x:v>
      </x:c>
    </x:row>
    <x:row r="10">
      <x:c r="A10" s="7" t="str">
        <x:v>7. Error Count</x:v>
      </x:c>
      <x:c r="B10" s="7" t="str">
        <x:v>Hitung aksi salah yang menghambat: klik fitur salah, kehilangan data, salah customer, submit invalid, salah status.</x:v>
      </x:c>
      <x:c r="C10" s="7" t="str">
        <x:v>Menemukan titik friction/error prevention.</x:v>
      </x:c>
      <x:c r="D10" s="7" t="str">
        <x:v>Integer.</x:v>
      </x:c>
      <x:c r="E10" s="7" t="str">
        <x:v>P0 ideal: 0 critical error.</x:v>
      </x:c>
      <x:c r="F10" s="7" t="str">
        <x:v>R01</x:v>
      </x:c>
    </x:row>
    <x:row r="11">
      <x:c r="A11" s="7" t="str">
        <x:v>8. SEQ</x:v>
      </x:c>
      <x:c r="B11" s="7" t="str">
        <x:v>Setelah tiap task tanyakan: 'Seberapa mudah atau sulit task ini?' 1=sangat sulit, 7=sangat mudah.</x:v>
      </x:c>
      <x:c r="C11" s="7" t="str">
        <x:v>Mendapatkan perceived ease langsung setelah task.</x:v>
      </x:c>
      <x:c r="D11" s="7" t="str">
        <x:v>1–7.</x:v>
      </x:c>
      <x:c r="E11" s="7" t="str">
        <x:v>Internal target median/average ≥5 untuk critical journeys.</x:v>
      </x:c>
      <x:c r="F11" s="7" t="str">
        <x:v>R02</x:v>
      </x:c>
    </x:row>
    <x:row r="12">
      <x:c r="A12" s="7" t="str">
        <x:v>9. Confidence</x:v>
      </x:c>
      <x:c r="B12" s="7" t="str">
        <x:v>Tanyakan seberapa yakin user bahwa hasilnya benar. 1=tidak yakin, 5=sangat yakin.</x:v>
      </x:c>
      <x:c r="C12" s="7" t="str">
        <x:v>Penting untuk approval/payment/publish/status workflows.</x:v>
      </x:c>
      <x:c r="D12" s="7" t="str">
        <x:v>1–5.</x:v>
      </x:c>
      <x:c r="E12" s="7" t="str">
        <x:v>Internal target ≥4 pada P0.</x:v>
      </x:c>
      <x:c r="F12" s="7" t="str">
        <x:v>R01</x:v>
      </x:c>
    </x:row>
    <x:row r="13">
      <x:c r="A13" s="7" t="str">
        <x:v>10. Accessibility</x:v>
      </x:c>
      <x:c r="B13" s="7" t="str">
        <x:v>Untuk journey utama, ulangi keyboard-only. Uji drag alternative, focus visibility, mobile target size, reflow, accessible authentication.</x:v>
      </x:c>
      <x:c r="C13" s="7" t="str">
        <x:v>Kenyamanan dan aksesibilitas harus masuk acceptance, bukan tahap terpisah.</x:v>
      </x:c>
      <x:c r="D13" s="7" t="str">
        <x:v>Pass/Fail + evidence.</x:v>
      </x:c>
      <x:c r="E13" s="7" t="str">
        <x:v>Key journey meets WCAG 2.2 AA relevant criteria.</x:v>
      </x:c>
      <x:c r="F13" s="7" t="str">
        <x:v>R03,R04,R05</x:v>
      </x:c>
    </x:row>
    <x:row r="14">
      <x:c r="A14" s="7" t="str">
        <x:v>11. Dead Controls</x:v>
      </x:c>
      <x:c r="B14" s="7" t="str">
        <x:v>Setiap tombol/tab/search/filter yang terlihat harus bekerja atau tidak ditampilkan.</x:v>
      </x:c>
      <x:c r="C14" s="7" t="str">
        <x:v>Dead controls menurunkan kepercayaan dan menambah cognitive load.</x:v>
      </x:c>
      <x:c r="D14" s="7" t="str">
        <x:v>Defect ID.</x:v>
      </x:c>
      <x:c r="E14" s="7" t="str">
        <x:v>Zero visible dead controls at staging sign-off.</x:v>
      </x:c>
      <x:c r="F14" s="7" t="str">
        <x:v>R01</x:v>
      </x:c>
    </x:row>
    <x:row r="15">
      <x:c r="A15" s="7" t="str">
        <x:v>12. Truthfulness</x:v>
      </x:c>
      <x:c r="B15" s="7" t="str">
        <x:v>Dashboard progress, status, counters, payment and assignment must represent real data/meaningful rules.</x:v>
      </x:c>
      <x:c r="C15" s="7" t="str">
        <x:v>Misleading metrics are worse than missing metrics.</x:v>
      </x:c>
      <x:c r="D15" s="7" t="str">
        <x:v>Evidence / API comparison.</x:v>
      </x:c>
      <x:c r="E15" s="7" t="str">
        <x:v>Zero fabricated/misleading operational metric.</x:v>
      </x:c>
      <x:c r="F15" s="7" t="str">
        <x:v>R01</x:v>
      </x:c>
    </x:row>
    <x:row r="16">
      <x:c r="A16" s="7" t="str">
        <x:v>13. Exit Gate</x:v>
      </x:c>
      <x:c r="B16" s="7" t="str">
        <x:v>Sebelum staging/UAT: semua P0 functional pass; zero Critical UX gap; P0 role journeys usability-tested; accessibility blockers closed.</x:v>
      </x:c>
      <x:c r="C16" s="7" t="str">
        <x:v>Membedakan 'fitur ada' dari 'siap dipakai'.</x:v>
      </x:c>
      <x:c r="D16" s="7" t="str">
        <x:v>Sign-off.</x:v>
      </x:c>
      <x:c r="E16" s="7" t="str">
        <x:v>Go only when role-specific exit criteria are met.</x:v>
      </x:c>
      <x:c r="F16" s="7" t="str">
        <x:v>R01,R02,R03</x:v>
      </x:c>
    </x:row>
    <x:row r="20">
      <x:c r="A20" s="32" t="str">
        <x:v>Recommended Moderated UX Script — Example</x:v>
      </x:c>
      <x:c r="B20" s="32"/>
      <x:c r="C20" s="32"/>
      <x:c r="D20" s="32"/>
      <x:c r="E20" s="32"/>
      <x:c r="F20" s="32"/>
    </x:row>
    <x:row r="21">
      <x:c r="A21" s="36" t="str">
        <x:v>Role</x:v>
      </x:c>
      <x:c r="B21" s="36" t="str">
        <x:v>Example Task</x:v>
      </x:c>
      <x:c r="C21" s="36" t="str"/>
      <x:c r="D21" s="36" t="str"/>
      <x:c r="E21" s="36" t="str"/>
      <x:c r="F21" s="36" t="str"/>
    </x:row>
    <x:row r="22">
      <x:c r="A22" s="7" t="str">
        <x:v>Viewer</x:v>
      </x:c>
      <x:c r="B22" s="7" t="str">
        <x:v>Anda ingin melihat contoh undangan, memahami harga, lalu memesan template tanpa membuat akun terlebih dahulu.</x:v>
      </x:c>
      <x:c r="C22" s="7" t="str"/>
      <x:c r="D22" s="7" t="str"/>
      <x:c r="E22" s="7" t="str"/>
      <x:c r="F22" s="7" t="str"/>
    </x:row>
    <x:row r="23">
      <x:c r="A23" s="7" t="str">
        <x:v>Customer</x:v>
      </x:c>
      <x:c r="B23" s="7" t="str">
        <x:v>Anda baru login. Cari status website/pemesanan Anda, ubah informasi undangan, preview, lalu pastikan perubahan aman.</x:v>
      </x:c>
      <x:c r="C23" s="7" t="str"/>
      <x:c r="D23" s="7" t="str"/>
      <x:c r="E23" s="7" t="str"/>
      <x:c r="F23" s="7" t="str"/>
    </x:row>
    <x:row r="24">
      <x:c r="A24" s="7" t="str">
        <x:v>Web Designer</x:v>
      </x:c>
      <x:c r="B24" s="7" t="str">
        <x:v>Anda menerima Customer baru. Buka project yang benar, edit layout, lakukan perubahan, preview, simpan, lalu cek task berikutnya.</x:v>
      </x:c>
      <x:c r="C24" s="7" t="str"/>
      <x:c r="D24" s="7" t="str"/>
      <x:c r="E24" s="7" t="str"/>
      <x:c r="F24" s="7" t="str"/>
    </x:row>
    <x:row r="25">
      <x:c r="A25" s="7" t="str">
        <x:v>Administrator</x:v>
      </x:c>
      <x:c r="B25" s="7" t="str">
        <x:v>Ada template baru yang perlu direview. Temukan pengajuannya, cek informasi, ambil keputusan, lalu pastikan requestor mendapat status yang benar.</x:v>
      </x:c>
      <x:c r="C25" s="7" t="str"/>
      <x:c r="D25" s="7" t="str"/>
      <x:c r="E25" s="7" t="str"/>
      <x:c r="F25" s="7" t="str"/>
    </x:row>
    <x:row r="26">
      <x:c r="A26" s="7" t="str">
        <x:v>Customer Service</x:v>
      </x:c>
      <x:c r="B26" s="7" t="str">
        <x:v>Ada chat baru dan satu order onboarding. Tentukan mana yang harus dijawab dulu, pahami konteks customer, balas, lalu selesaikan/ubah status conversation.</x:v>
      </x:c>
      <x:c r="C26" s="7" t="str"/>
      <x:c r="D26" s="7" t="str"/>
      <x:c r="E26" s="7" t="str"/>
      <x:c r="F26" s="7" t="str"/>
    </x:row>
    <x:row r="27">
      <x:c r="A27" s="7" t="str">
        <x:v>Observer</x:v>
      </x:c>
      <x:c r="B27" s="7" t="str">
        <x:v>Jangan membantu kecuali tester benar-benar berhenti. Catat istilah yang tidak dipahami, tombol yang disangka clickable, langkah bolak-balik, dan rasa ragu.</x:v>
      </x:c>
      <x:c r="C27" s="7" t="str"/>
      <x:c r="D27" s="7" t="str"/>
      <x:c r="E27" s="7" t="str"/>
      <x:c r="F27" s="7" t="str"/>
    </x:row>
  </x:sheetData>
  <x:mergeCells>
    <x:mergeCell ref="A1:F1"/>
    <x:mergeCell ref="A20:F2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22" hidden="0" customWidth="1"/>
    <x:col min="4" max="4" width="40" hidden="0" customWidth="1"/>
    <x:col min="5" max="5" width="50" hidden="0" customWidth="1"/>
    <x:col min="6" max="6" width="50" hidden="0" customWidth="1"/>
    <x:col min="7" max="7" width="18" hidden="0" customWidth="1"/>
    <x:col min="8" max="8" width="50" hidden="0" customWidth="1"/>
    <x:col min="9" max="9" width="10" hidden="0" customWidth="1"/>
    <x:col min="10" max="10" width="34" hidden="0" customWidth="1"/>
    <x:col min="11" max="11" width="14" hidden="0" customWidth="1"/>
    <x:col min="12" max="12" width="13" hidden="0" customWidth="1"/>
    <x:col min="13" max="13" width="12" hidden="0" customWidth="1"/>
    <x:col min="14" max="14" width="10" hidden="0" customWidth="1"/>
    <x:col min="15" max="15" width="12" hidden="0" customWidth="1"/>
    <x:col min="16" max="16" width="11" hidden="0" customWidth="1"/>
    <x:col min="17" max="17" width="15" hidden="0" customWidth="1"/>
    <x:col min="18" max="18" width="48" hidden="0" customWidth="1"/>
    <x:col min="19" max="19" width="14" hidden="0" customWidth="1"/>
    <x:col min="20" max="20" width="16" hidden="0" customWidth="1"/>
    <x:col min="21" max="21" width="36" hidden="0" customWidth="1"/>
    <x:col min="22" max="22" width="14" hidden="0" customWidth="1"/>
  </x:cols>
  <x:sheetData>
    <x:row r="1" ht="28" customHeight="1">
      <x:c r="A1" s="14" t="str">
        <x:v>Viewer — UX QA Form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</x:row>
    <x:row r="3">
      <x:c r="A3" s="22" t="str">
        <x:v>Role Definition</x:v>
      </x:c>
      <x:c r="B3" s="7" t="str">
        <x:v>Public visitor + invitation guest</x:v>
      </x:c>
      <x:c r="D3" s="27" t="str">
        <x:v>Moderator instruction: berikan task, bukan langkah. Jangan mengajari tester sebelum task selesai. Catat apakah task selesai tanpa bantuan, waktu, error, bantuan yang dibutuhkan, SEQ (1=sangat sulit, 7=sangat mudah), dan confidence (1=tidak yakin, 5=sangat yakin). Functional Pass tidak otomatis berarti UX nyaman.</x:v>
      </x:c>
      <x:c r="E3" s="27"/>
      <x:c r="F3" s="27"/>
      <x:c r="G3" s="27"/>
      <x:c r="H3" s="27"/>
    </x:row>
    <x:row r="4">
      <x:c r="A4" s="22" t="str">
        <x:v>Critical Journey</x:v>
      </x:c>
      <x:c r="B4" s="7" t="str">
        <x:v>Landing → Template/Article → Checkout OR Public Invitation → RSVP/Support</x:v>
      </x:c>
      <x:c r="D4" s="27"/>
      <x:c r="E4" s="27"/>
      <x:c r="F4" s="27"/>
      <x:c r="G4" s="27"/>
      <x:c r="H4" s="27"/>
    </x:row>
    <x:row r="5">
      <x:c r="A5" s="22" t="str">
        <x:v>Tester Name</x:v>
      </x:c>
      <x:c r="B5" s="7" t="str"/>
      <x:c r="D5" s="27"/>
      <x:c r="E5" s="27"/>
      <x:c r="F5" s="27"/>
      <x:c r="G5" s="27"/>
      <x:c r="H5" s="27"/>
    </x:row>
    <x:row r="6">
      <x:c r="A6" s="22" t="str">
        <x:v>Device / Browser</x:v>
      </x:c>
      <x:c r="B6" s="7" t="str"/>
      <x:c r="D6" s="27"/>
      <x:c r="E6" s="27"/>
      <x:c r="F6" s="27"/>
      <x:c r="G6" s="27"/>
      <x:c r="H6" s="27"/>
    </x:row>
    <x:row r="7">
      <x:c r="A7" s="22" t="str">
        <x:v>Build / Date</x:v>
      </x:c>
      <x:c r="B7" s="7" t="str">
        <x:v>v0.13 / </x:v>
      </x:c>
      <x:c r="D7" s="27"/>
      <x:c r="E7" s="27"/>
      <x:c r="F7" s="27"/>
      <x:c r="G7" s="27"/>
      <x:c r="H7" s="27"/>
    </x:row>
    <x:row r="9">
      <x:c r="A9" s="6" t="str">
        <x:v>QA ID</x:v>
      </x:c>
      <x:c r="B9" s="6" t="str">
        <x:v>Stage</x:v>
      </x:c>
      <x:c r="C9" s="6" t="str">
        <x:v>Feature</x:v>
      </x:c>
      <x:c r="D9" s="6" t="str">
        <x:v>Task / Scenario</x:v>
      </x:c>
      <x:c r="E9" s="6" t="str">
        <x:v>Expected UX</x:v>
      </x:c>
      <x:c r="F9" s="6" t="str">
        <x:v>Current v0.13</x:v>
      </x:c>
      <x:c r="G9" s="6" t="str">
        <x:v>Pre-Audit</x:v>
      </x:c>
      <x:c r="H9" s="6" t="str">
        <x:v>Recommendation</x:v>
      </x:c>
      <x:c r="I9" s="6" t="str">
        <x:v>Priority</x:v>
      </x:c>
      <x:c r="J9" s="6" t="str">
        <x:v>Target</x:v>
      </x:c>
      <x:c r="K9" s="6" t="str">
        <x:v>Tester Result</x:v>
      </x:c>
      <x:c r="L9" s="6" t="str">
        <x:v>Task Success</x:v>
      </x:c>
      <x:c r="M9" s="6" t="str">
        <x:v>Time sec</x:v>
      </x:c>
      <x:c r="N9" s="6" t="str">
        <x:v>Errors</x:v>
      </x:c>
      <x:c r="O9" s="6" t="str">
        <x:v>Assistance</x:v>
      </x:c>
      <x:c r="P9" s="6" t="str">
        <x:v>SEQ 1-7</x:v>
      </x:c>
      <x:c r="Q9" s="6" t="str">
        <x:v>Confidence 1-5</x:v>
      </x:c>
      <x:c r="R9" s="6" t="str">
        <x:v>Actual Observation</x:v>
      </x:c>
      <x:c r="S9" s="6" t="str">
        <x:v>Defect ID</x:v>
      </x:c>
      <x:c r="T9" s="6" t="str">
        <x:v>Source IDs</x:v>
      </x:c>
      <x:c r="U9" s="3" t="str">
        <x:v>Tester Notes</x:v>
      </x:c>
      <x:c r="V9" s="3" t="str">
        <x:v>Test Date</x:v>
      </x:c>
    </x:row>
    <x:row r="10">
      <x:c r="A10" s="7" t="str">
        <x:v>UX-001</x:v>
      </x:c>
      <x:c r="B10" s="7" t="str">
        <x:v>Discover</x:v>
      </x:c>
      <x:c r="C10" s="7" t="str">
        <x:v>Landing Page</x:v>
      </x:c>
      <x:c r="D10" s="7" t="str">
        <x:v>Understand what ikrarku offers within 10 seconds</x:v>
      </x:c>
      <x:c r="E10" s="7" t="str">
        <x:v>Value proposition should use customer language, explain outcome, and present one obvious primary CTA.</x:v>
      </x:c>
      <x:c r="F10" s="7" t="str">
        <x:v>Hero explains wedding website + managed onboarding, but also surfaces 'Real DB', 'SQLite persistence', database status and other implementation jargon.</x:v>
      </x:c>
      <x:c r="G10" s="7" t="str">
        <x:v>Gap</x:v>
      </x:c>
      <x:c r="H10" s="7" t="str">
        <x:v>Remove database/SQLite/internal architecture copy from Viewer UI; replace with trust/value messages such as secure payment, managed onboarding, responsive invitation.</x:v>
      </x:c>
      <x:c r="I10" s="7" t="str">
        <x:v>P0</x:v>
      </x:c>
      <x:c r="J10" s="7" t="str">
        <x:v>Complete without facilitator; SEQ ≥5/7</x:v>
      </x:c>
      <x:c r="K10" s="7" t="str">
        <x:v>Not Tested</x:v>
      </x:c>
      <x:c r="L10" s="7" t="str"/>
      <x:c r="M10" s="7" t="str"/>
      <x:c r="N10" s="7" t="str"/>
      <x:c r="O10" s="7" t="str"/>
      <x:c r="P10" s="7" t="str"/>
      <x:c r="Q10" s="7" t="str"/>
      <x:c r="R10" s="7" t="str"/>
      <x:c r="S10" s="7" t="str"/>
      <x:c r="T10" s="7" t="str">
        <x:v>R01</x:v>
      </x:c>
      <x:c r="U10" s="7"/>
      <x:c r="V10" s="48"/>
    </x:row>
    <x:row r="11">
      <x:c r="A11" s="7" t="str">
        <x:v>UX-002</x:v>
      </x:c>
      <x:c r="B11" s="7" t="str">
        <x:v>Discover</x:v>
      </x:c>
      <x:c r="C11" s="7" t="str">
        <x:v>Navigation</x:v>
      </x:c>
      <x:c r="D11" s="7" t="str">
        <x:v>Reach Templates, Articles, Sign In and primary CTA</x:v>
      </x:c>
      <x:c r="E11" s="7" t="str">
        <x:v>Navigation labels should be familiar, consistent and work with keyboard/focus.</x:v>
      </x:c>
      <x:c r="F11" s="7" t="str">
        <x:v>Primary anchors and auth CTAs exist.</x:v>
      </x:c>
      <x:c r="G11" s="7" t="str">
        <x:v>Partial</x:v>
      </x:c>
      <x:c r="H11" s="7" t="str">
        <x:v>Validate keyboard focus, sticky/mobile navigation and active location; localize language consistently.</x:v>
      </x:c>
      <x:c r="I11" s="7" t="str">
        <x:v>P1</x:v>
      </x:c>
      <x:c r="J11" s="7" t="str">
        <x:v>Complete without facilitator; SEQ ≥5/7</x:v>
      </x:c>
      <x:c r="K11" s="7" t="str">
        <x:v>Not Tested</x:v>
      </x:c>
      <x:c r="L11" s="7" t="str"/>
      <x:c r="M11" s="7" t="str"/>
      <x:c r="N11" s="7" t="str"/>
      <x:c r="O11" s="7" t="str"/>
      <x:c r="P11" s="7" t="str"/>
      <x:c r="Q11" s="7" t="str"/>
      <x:c r="R11" s="7" t="str"/>
      <x:c r="S11" s="7" t="str"/>
      <x:c r="T11" s="7" t="str">
        <x:v>R01,R03</x:v>
      </x:c>
      <x:c r="U11" s="7"/>
      <x:c r="V11" s="48"/>
    </x:row>
    <x:row r="12">
      <x:c r="A12" s="7" t="str">
        <x:v>UX-003</x:v>
      </x:c>
      <x:c r="B12" s="7" t="str">
        <x:v>Discover</x:v>
      </x:c>
      <x:c r="C12" s="7" t="str">
        <x:v>Landing Page</x:v>
      </x:c>
      <x:c r="D12" s="7" t="str">
        <x:v>Use site on mobile without horizontal overflow</x:v>
      </x:c>
      <x:c r="E12" s="7" t="str">
        <x:v>Content should reflow on small screens and preserve readable hierarchy.</x:v>
      </x:c>
      <x:c r="F12" s="7" t="str">
        <x:v>Responsive CSS exists but requires real device validation.</x:v>
      </x:c>
      <x:c r="G12" s="7" t="str">
        <x:v>Needs User Test</x:v>
      </x:c>
      <x:c r="H12" s="7" t="str">
        <x:v>Run 375/390px iOS + Android tests for navigation, template cards, chat and checkout.</x:v>
      </x:c>
      <x:c r="I12" s="7" t="str">
        <x:v>P0</x:v>
      </x:c>
      <x:c r="J12" s="7" t="str">
        <x:v>Complete without facilitator; SEQ ≥5/7</x:v>
      </x:c>
      <x:c r="K12" s="7" t="str">
        <x:v>Not Tested</x:v>
      </x:c>
      <x:c r="L12" s="7" t="str"/>
      <x:c r="M12" s="7" t="str"/>
      <x:c r="N12" s="7" t="str"/>
      <x:c r="O12" s="7" t="str"/>
      <x:c r="P12" s="7" t="str"/>
      <x:c r="Q12" s="7" t="str"/>
      <x:c r="R12" s="7" t="str"/>
      <x:c r="S12" s="7" t="str"/>
      <x:c r="T12" s="7" t="str">
        <x:v>R03</x:v>
      </x:c>
      <x:c r="U12" s="7"/>
      <x:c r="V12" s="48"/>
    </x:row>
    <x:row r="13">
      <x:c r="A13" s="7" t="str">
        <x:v>UX-004</x:v>
      </x:c>
      <x:c r="B13" s="7" t="str">
        <x:v>Discover</x:v>
      </x:c>
      <x:c r="C13" s="7" t="str">
        <x:v>Template Catalog</x:v>
      </x:c>
      <x:c r="D13" s="7" t="str">
        <x:v>Browse available templates</x:v>
      </x:c>
      <x:c r="E13" s="7" t="str">
        <x:v>Template cards should expose name, category, price and a clear route to detail/preview.</x:v>
      </x:c>
      <x:c r="F13" s="7" t="str">
        <x:v>Landing displays up to six templates with category, description and price.</x:v>
      </x:c>
      <x:c r="G13" s="7" t="str">
        <x:v>Meets</x:v>
      </x:c>
      <x:c r="H13" s="7" t="str">
        <x:v>Retain current card information hierarchy.</x:v>
      </x:c>
      <x:c r="I13" s="7" t="str">
        <x:v>P1</x:v>
      </x:c>
      <x:c r="J13" s="7" t="str">
        <x:v>Complete without facilitator; SEQ ≥5/7</x:v>
      </x:c>
      <x:c r="K13" s="7" t="str">
        <x:v>Not Tested</x:v>
      </x:c>
      <x:c r="L13" s="7" t="str"/>
      <x:c r="M13" s="7" t="str"/>
      <x:c r="N13" s="7" t="str"/>
      <x:c r="O13" s="7" t="str"/>
      <x:c r="P13" s="7" t="str"/>
      <x:c r="Q13" s="7" t="str"/>
      <x:c r="R13" s="7" t="str"/>
      <x:c r="S13" s="7" t="str"/>
      <x:c r="T13" s="7" t="str">
        <x:v>R01</x:v>
      </x:c>
      <x:c r="U13" s="7"/>
      <x:c r="V13" s="48"/>
    </x:row>
    <x:row r="14">
      <x:c r="A14" s="7" t="str">
        <x:v>UX-005</x:v>
      </x:c>
      <x:c r="B14" s="7" t="str">
        <x:v>Discover</x:v>
      </x:c>
      <x:c r="C14" s="7" t="str">
        <x:v>Template Catalog</x:v>
      </x:c>
      <x:c r="D14" s="7" t="str">
        <x:v>Find a template when catalog grows beyond a few items</x:v>
      </x:c>
      <x:c r="E14" s="7" t="str">
        <x:v>Large catalogs need discoverability mechanisms such as search/filter/category browsing.</x:v>
      </x:c>
      <x:c r="F14" s="7" t="str">
        <x:v>Landing hard-limits showcase to templates.slice(0,6); no public search/filter or 'View all' flow is evident.</x:v>
      </x:c>
      <x:c r="G14" s="7" t="str">
        <x:v>Gap</x:v>
      </x:c>
      <x:c r="H14" s="7" t="str">
        <x:v>Add View All Templates page with search, category, price and style filters.</x:v>
      </x:c>
      <x:c r="I14" s="7" t="str">
        <x:v>P1</x:v>
      </x:c>
      <x:c r="J14" s="7" t="str">
        <x:v>Complete without facilitator; SEQ ≥5/7</x:v>
      </x:c>
      <x:c r="K14" s="7" t="str">
        <x:v>Not Tested</x:v>
      </x:c>
      <x:c r="L14" s="7" t="str"/>
      <x:c r="M14" s="7" t="str"/>
      <x:c r="N14" s="7" t="str"/>
      <x:c r="O14" s="7" t="str"/>
      <x:c r="P14" s="7" t="str"/>
      <x:c r="Q14" s="7" t="str"/>
      <x:c r="R14" s="7" t="str"/>
      <x:c r="S14" s="7" t="str"/>
      <x:c r="T14" s="7" t="str">
        <x:v>R01</x:v>
      </x:c>
      <x:c r="U14" s="7"/>
      <x:c r="V14" s="48"/>
    </x:row>
    <x:row r="15">
      <x:c r="A15" s="7" t="str">
        <x:v>UX-006</x:v>
      </x:c>
      <x:c r="B15" s="7" t="str">
        <x:v>Evaluate</x:v>
      </x:c>
      <x:c r="C15" s="7" t="str">
        <x:v>Template Detail</x:v>
      </x:c>
      <x:c r="D15" s="7" t="str">
        <x:v>Understand what a template includes before buying</x:v>
      </x:c>
      <x:c r="E15" s="7" t="str">
        <x:v>Detail page should communicate actual deliverables, price, responsive behavior and managed-service scope.</x:v>
      </x:c>
      <x:c r="F15" s="7" t="str">
        <x:v>Dedicated detail journey includes features, price and inclusions.</x:v>
      </x:c>
      <x:c r="G15" s="7" t="str">
        <x:v>Meets</x:v>
      </x:c>
      <x:c r="H15" s="7" t="str">
        <x:v>Add explicit revision/customization scope if commercial terms require it.</x:v>
      </x:c>
      <x:c r="I15" s="7" t="str">
        <x:v>P1</x:v>
      </x:c>
      <x:c r="J15" s="7" t="str">
        <x:v>Complete without facilitator; SEQ ≥5/7</x:v>
      </x:c>
      <x:c r="K15" s="7" t="str">
        <x:v>Not Tested</x:v>
      </x:c>
      <x:c r="L15" s="7" t="str"/>
      <x:c r="M15" s="7" t="str"/>
      <x:c r="N15" s="7" t="str"/>
      <x:c r="O15" s="7" t="str"/>
      <x:c r="P15" s="7" t="str"/>
      <x:c r="Q15" s="7" t="str"/>
      <x:c r="R15" s="7" t="str"/>
      <x:c r="S15" s="7" t="str"/>
      <x:c r="T15" s="7" t="str">
        <x:v>R01</x:v>
      </x:c>
      <x:c r="U15" s="7"/>
      <x:c r="V15" s="48"/>
    </x:row>
    <x:row r="16">
      <x:c r="A16" s="7" t="str">
        <x:v>UX-007</x:v>
      </x:c>
      <x:c r="B16" s="7" t="str">
        <x:v>Evaluate</x:v>
      </x:c>
      <x:c r="C16" s="7" t="str">
        <x:v>Template Preview</x:v>
      </x:c>
      <x:c r="D16" s="7" t="str">
        <x:v>Preview the actual product before purchase</x:v>
      </x:c>
      <x:c r="E16" s="7" t="str">
        <x:v>Preview should represent the real template closely enough to support purchase decisions and be viewable across breakpoints.</x:v>
      </x:c>
      <x:c r="F16" s="7" t="str">
        <x:v>Current preview overlay is a stylized sample with hard-coded couple/date, not the actual saved template canvas.</x:v>
      </x:c>
      <x:c r="G16" s="7" t="str">
        <x:v>Gap</x:v>
      </x:c>
      <x:c r="H16" s="7" t="str">
        <x:v>Render the actual template canvas in a sandboxed full-page preview with desktop/mobile switch.</x:v>
      </x:c>
      <x:c r="I16" s="7" t="str">
        <x:v>P0</x:v>
      </x:c>
      <x:c r="J16" s="7" t="str">
        <x:v>Complete without facilitator; SEQ ≥5/7</x:v>
      </x:c>
      <x:c r="K16" s="7" t="str">
        <x:v>Not Tested</x:v>
      </x:c>
      <x:c r="L16" s="7" t="str"/>
      <x:c r="M16" s="7" t="str"/>
      <x:c r="N16" s="7" t="str"/>
      <x:c r="O16" s="7" t="str"/>
      <x:c r="P16" s="7" t="str"/>
      <x:c r="Q16" s="7" t="str"/>
      <x:c r="R16" s="7" t="str"/>
      <x:c r="S16" s="7" t="str"/>
      <x:c r="T16" s="7" t="str">
        <x:v>R01</x:v>
      </x:c>
      <x:c r="U16" s="7"/>
      <x:c r="V16" s="48"/>
    </x:row>
    <x:row r="17">
      <x:c r="A17" s="7" t="str">
        <x:v>UX-008</x:v>
      </x:c>
      <x:c r="B17" s="7" t="str">
        <x:v>Evaluate</x:v>
      </x:c>
      <x:c r="C17" s="7" t="str">
        <x:v>Price</x:v>
      </x:c>
      <x:c r="D17" s="7" t="str">
        <x:v>Know the total price without ambiguity</x:v>
      </x:c>
      <x:c r="E17" s="7" t="str">
        <x:v>Price should be visible before checkout and remain consistent through order summary.</x:v>
      </x:c>
      <x:c r="F17" s="7" t="str">
        <x:v>Template detail and checkout both display price.</x:v>
      </x:c>
      <x:c r="G17" s="7" t="str">
        <x:v>Meets</x:v>
      </x:c>
      <x:c r="H17" s="7" t="str">
        <x:v>Add tax/fee disclosure if applicable before production.</x:v>
      </x:c>
      <x:c r="I17" s="7" t="str">
        <x:v>P1</x:v>
      </x:c>
      <x:c r="J17" s="7" t="str">
        <x:v>Complete without facilitator; SEQ ≥5/7</x:v>
      </x:c>
      <x:c r="K17" s="7" t="str">
        <x:v>Not Tested</x:v>
      </x:c>
      <x:c r="L17" s="7" t="str"/>
      <x:c r="M17" s="7" t="str"/>
      <x:c r="N17" s="7" t="str"/>
      <x:c r="O17" s="7" t="str"/>
      <x:c r="P17" s="7" t="str"/>
      <x:c r="Q17" s="7" t="str"/>
      <x:c r="R17" s="7" t="str"/>
      <x:c r="S17" s="7" t="str"/>
      <x:c r="T17" s="7" t="str">
        <x:v>R01,R06</x:v>
      </x:c>
      <x:c r="U17" s="7"/>
      <x:c r="V17" s="48"/>
    </x:row>
    <x:row r="18">
      <x:c r="A18" s="7" t="str">
        <x:v>UX-009</x:v>
      </x:c>
      <x:c r="B18" s="7" t="str">
        <x:v>Checkout</x:v>
      </x:c>
      <x:c r="C18" s="7" t="str">
        <x:v>Guest Checkout</x:v>
      </x:c>
      <x:c r="D18" s="7" t="str">
        <x:v>Place an order without being forced to create an account</x:v>
      </x:c>
      <x:c r="E18" s="7" t="str">
        <x:v>Guest checkout should be prominent; sign-in/register should remain optional rather than blocking purchase.</x:v>
      </x:c>
      <x:c r="F18" s="7" t="str">
        <x:v>Checkout allows name/email/phone first and offers optional Sign In/Register.</x:v>
      </x:c>
      <x:c r="G18" s="7" t="str">
        <x:v>Meets</x:v>
      </x:c>
      <x:c r="H18" s="7" t="str">
        <x:v>Keep guest checkout as the default order path.</x:v>
      </x:c>
      <x:c r="I18" s="7" t="str">
        <x:v>P0</x:v>
      </x:c>
      <x:c r="J18" s="7" t="str">
        <x:v>Complete without facilitator; SEQ ≥5/7</x:v>
      </x:c>
      <x:c r="K18" s="7" t="str">
        <x:v>Not Tested</x:v>
      </x:c>
      <x:c r="L18" s="7" t="str"/>
      <x:c r="M18" s="7" t="str"/>
      <x:c r="N18" s="7" t="str"/>
      <x:c r="O18" s="7" t="str"/>
      <x:c r="P18" s="7" t="str"/>
      <x:c r="Q18" s="7" t="str"/>
      <x:c r="R18" s="7" t="str"/>
      <x:c r="S18" s="7" t="str"/>
      <x:c r="T18" s="7" t="str">
        <x:v>R06,R07</x:v>
      </x:c>
      <x:c r="U18" s="7"/>
      <x:c r="V18" s="48"/>
    </x:row>
    <x:row r="19">
      <x:c r="A19" s="7" t="str">
        <x:v>UX-010</x:v>
      </x:c>
      <x:c r="B19" s="7" t="str">
        <x:v>Checkout</x:v>
      </x:c>
      <x:c r="C19" s="7" t="str">
        <x:v>Customer Data</x:v>
      </x:c>
      <x:c r="D19" s="7" t="str">
        <x:v>Enter only information necessary for fulfilment</x:v>
      </x:c>
      <x:c r="E19" s="7" t="str">
        <x:v>Checkout should minimize fields and explain why required data is needed.</x:v>
      </x:c>
      <x:c r="F19" s="7" t="str">
        <x:v>Name, receipt email and WhatsApp phone are required with inline explanation.</x:v>
      </x:c>
      <x:c r="G19" s="7" t="str">
        <x:v>Meets</x:v>
      </x:c>
      <x:c r="H19" s="7" t="str">
        <x:v>Test if full name can be simplified and use country-aware phone formatting.</x:v>
      </x:c>
      <x:c r="I19" s="7" t="str">
        <x:v>P1</x:v>
      </x:c>
      <x:c r="J19" s="7" t="str">
        <x:v>Complete without facilitator; SEQ ≥5/7</x:v>
      </x:c>
      <x:c r="K19" s="7" t="str">
        <x:v>Not Tested</x:v>
      </x:c>
      <x:c r="L19" s="7" t="str"/>
      <x:c r="M19" s="7" t="str"/>
      <x:c r="N19" s="7" t="str"/>
      <x:c r="O19" s="7" t="str"/>
      <x:c r="P19" s="7" t="str"/>
      <x:c r="Q19" s="7" t="str"/>
      <x:c r="R19" s="7" t="str"/>
      <x:c r="S19" s="7" t="str"/>
      <x:c r="T19" s="7" t="str">
        <x:v>R08</x:v>
      </x:c>
      <x:c r="U19" s="7"/>
      <x:c r="V19" s="48"/>
    </x:row>
    <x:row r="20">
      <x:c r="A20" s="7" t="str">
        <x:v>UX-011</x:v>
      </x:c>
      <x:c r="B20" s="7" t="str">
        <x:v>Checkout</x:v>
      </x:c>
      <x:c r="C20" s="7" t="str">
        <x:v>Validation</x:v>
      </x:c>
      <x:c r="D20" s="7" t="str">
        <x:v>Recover from invalid email/phone input</x:v>
      </x:c>
      <x:c r="E20" s="7" t="str">
        <x:v>Validation should be inline, specific, preserve input and identify how to fix the issue.</x:v>
      </x:c>
      <x:c r="F20" s="7" t="str">
        <x:v>Email and phone receive inline validation messages.</x:v>
      </x:c>
      <x:c r="G20" s="7" t="str">
        <x:v>Meets</x:v>
      </x:c>
      <x:c r="H20" s="7" t="str">
        <x:v>Add focus-to-first-error and accessible error association.</x:v>
      </x:c>
      <x:c r="I20" s="7" t="str">
        <x:v>P1</x:v>
      </x:c>
      <x:c r="J20" s="7" t="str">
        <x:v>Complete without facilitator; SEQ ≥5/7</x:v>
      </x:c>
      <x:c r="K20" s="7" t="str">
        <x:v>Not Tested</x:v>
      </x:c>
      <x:c r="L20" s="7" t="str"/>
      <x:c r="M20" s="7" t="str"/>
      <x:c r="N20" s="7" t="str"/>
      <x:c r="O20" s="7" t="str"/>
      <x:c r="P20" s="7" t="str"/>
      <x:c r="Q20" s="7" t="str"/>
      <x:c r="R20" s="7" t="str"/>
      <x:c r="S20" s="7" t="str"/>
      <x:c r="T20" s="7" t="str">
        <x:v>R01,R03</x:v>
      </x:c>
      <x:c r="U20" s="7"/>
      <x:c r="V20" s="48"/>
    </x:row>
    <x:row r="21">
      <x:c r="A21" s="7" t="str">
        <x:v>UX-012</x:v>
      </x:c>
      <x:c r="B21" s="7" t="str">
        <x:v>Checkout</x:v>
      </x:c>
      <x:c r="C21" s="7" t="str">
        <x:v>Payment Methods</x:v>
      </x:c>
      <x:c r="D21" s="7" t="str">
        <x:v>Choose QRIS, GoPay or Card confidently</x:v>
      </x:c>
      <x:c r="E21" s="7" t="str">
        <x:v>Each method should have clear label, instructions, state and disabled/unavailable handling.</x:v>
      </x:c>
      <x:c r="F21" s="7" t="str">
        <x:v>Enabled methods are shown as selectable cards.</x:v>
      </x:c>
      <x:c r="G21" s="7" t="str">
        <x:v>Partial</x:v>
      </x:c>
      <x:c r="H21" s="7" t="str">
        <x:v>Validate selected state contrast, keyboard selection and production gateway error states.</x:v>
      </x:c>
      <x:c r="I21" s="7" t="str">
        <x:v>P0</x:v>
      </x:c>
      <x:c r="J21" s="7" t="str">
        <x:v>Complete without facilitator; SEQ ≥5/7</x:v>
      </x:c>
      <x:c r="K21" s="7" t="str">
        <x:v>Not Tested</x:v>
      </x:c>
      <x:c r="L21" s="7" t="str"/>
      <x:c r="M21" s="7" t="str"/>
      <x:c r="N21" s="7" t="str"/>
      <x:c r="O21" s="7" t="str"/>
      <x:c r="P21" s="7" t="str"/>
      <x:c r="Q21" s="7" t="str"/>
      <x:c r="R21" s="7" t="str"/>
      <x:c r="S21" s="7" t="str"/>
      <x:c r="T21" s="7" t="str">
        <x:v>R03,R06</x:v>
      </x:c>
      <x:c r="U21" s="7"/>
      <x:c r="V21" s="48"/>
    </x:row>
    <x:row r="22">
      <x:c r="A22" s="7" t="str">
        <x:v>UX-013</x:v>
      </x:c>
      <x:c r="B22" s="7" t="str">
        <x:v>Checkout</x:v>
      </x:c>
      <x:c r="C22" s="7" t="str">
        <x:v>Payment Copy</x:v>
      </x:c>
      <x:c r="D22" s="7" t="str">
        <x:v>Complete payment without seeing internal staging concepts</x:v>
      </x:c>
      <x:c r="E22" s="7" t="str">
        <x:v>Production-facing checkout must not expose localhost, database or implementation language.</x:v>
      </x:c>
      <x:c r="F22" s="7" t="str">
        <x:v>Checkout explicitly shows 'Secure database checkout' and 'Localhost payment mode'.</x:v>
      </x:c>
      <x:c r="G22" s="7" t="str">
        <x:v>Gap</x:v>
      </x:c>
      <x:c r="H22" s="7" t="str">
        <x:v>Hide environment/debug copy from Viewer. Keep a separate staging banner only for authorized testers.</x:v>
      </x:c>
      <x:c r="I22" s="7" t="str">
        <x:v>P0</x:v>
      </x:c>
      <x:c r="J22" s="7" t="str">
        <x:v>Complete without facilitator; SEQ ≥5/7</x:v>
      </x:c>
      <x:c r="K22" s="7" t="str">
        <x:v>Not Tested</x:v>
      </x:c>
      <x:c r="L22" s="7" t="str"/>
      <x:c r="M22" s="7" t="str"/>
      <x:c r="N22" s="7" t="str"/>
      <x:c r="O22" s="7" t="str"/>
      <x:c r="P22" s="7" t="str"/>
      <x:c r="Q22" s="7" t="str"/>
      <x:c r="R22" s="7" t="str"/>
      <x:c r="S22" s="7" t="str"/>
      <x:c r="T22" s="7" t="str">
        <x:v>R01</x:v>
      </x:c>
      <x:c r="U22" s="7"/>
      <x:c r="V22" s="48"/>
    </x:row>
    <x:row r="23">
      <x:c r="A23" s="7" t="str">
        <x:v>UX-014</x:v>
      </x:c>
      <x:c r="B23" s="7" t="str">
        <x:v>Checkout</x:v>
      </x:c>
      <x:c r="C23" s="7" t="str">
        <x:v>Payment Confirmation</x:v>
      </x:c>
      <x:c r="D23" s="7" t="str">
        <x:v>Know whether payment succeeded and what happens next</x:v>
      </x:c>
      <x:c r="E23" s="7" t="str">
        <x:v>Confirmation should show order number, amount, status, next steps and receipt access.</x:v>
      </x:c>
      <x:c r="F23" s="7" t="str">
        <x:v>Success page shows order, total, onboarding status, CS/Designer assignment and PDF link.</x:v>
      </x:c>
      <x:c r="G23" s="7" t="str">
        <x:v>Meets</x:v>
      </x:c>
      <x:c r="H23" s="7" t="str">
        <x:v>In production, display gateway reference and support contact if confirmation is delayed.</x:v>
      </x:c>
      <x:c r="I23" s="7" t="str">
        <x:v>P0</x:v>
      </x:c>
      <x:c r="J23" s="7" t="str">
        <x:v>Complete without facilitator; SEQ ≥5/7</x:v>
      </x:c>
      <x:c r="K23" s="7" t="str">
        <x:v>Not Tested</x:v>
      </x:c>
      <x:c r="L23" s="7" t="str"/>
      <x:c r="M23" s="7" t="str"/>
      <x:c r="N23" s="7" t="str"/>
      <x:c r="O23" s="7" t="str"/>
      <x:c r="P23" s="7" t="str"/>
      <x:c r="Q23" s="7" t="str"/>
      <x:c r="R23" s="7" t="str"/>
      <x:c r="S23" s="7" t="str"/>
      <x:c r="T23" s="7" t="str">
        <x:v>R01</x:v>
      </x:c>
      <x:c r="U23" s="7"/>
      <x:c r="V23" s="48"/>
    </x:row>
    <x:row r="24">
      <x:c r="A24" s="7" t="str">
        <x:v>UX-015</x:v>
      </x:c>
      <x:c r="B24" s="7" t="str">
        <x:v>Checkout</x:v>
      </x:c>
      <x:c r="C24" s="7" t="str">
        <x:v>Return to Journey</x:v>
      </x:c>
      <x:c r="D24" s="7" t="str">
        <x:v>Sign in/register from checkout without losing purchase context</x:v>
      </x:c>
      <x:c r="E24" s="7" t="str">
        <x:v>Auth detours should return users to the same template/order journey and preserve entered data where safe.</x:v>
      </x:c>
      <x:c r="F24" s="7" t="str">
        <x:v>Sign In/Register changes view; no explicit return-to-checkout state is evident.</x:v>
      </x:c>
      <x:c r="G24" s="7" t="str">
        <x:v>Gap</x:v>
      </x:c>
      <x:c r="H24" s="7" t="str">
        <x:v>Persist checkout intent/template and return after authentication/verification.</x:v>
      </x:c>
      <x:c r="I24" s="7" t="str">
        <x:v>P1</x:v>
      </x:c>
      <x:c r="J24" s="7" t="str">
        <x:v>Complete without facilitator; SEQ ≥5/7</x:v>
      </x:c>
      <x:c r="K24" s="7" t="str">
        <x:v>Not Tested</x:v>
      </x:c>
      <x:c r="L24" s="7" t="str"/>
      <x:c r="M24" s="7" t="str"/>
      <x:c r="N24" s="7" t="str"/>
      <x:c r="O24" s="7" t="str"/>
      <x:c r="P24" s="7" t="str"/>
      <x:c r="Q24" s="7" t="str"/>
      <x:c r="R24" s="7" t="str"/>
      <x:c r="S24" s="7" t="str"/>
      <x:c r="T24" s="7" t="str">
        <x:v>R01,R06</x:v>
      </x:c>
      <x:c r="U24" s="7"/>
      <x:c r="V24" s="48"/>
    </x:row>
    <x:row r="25">
      <x:c r="A25" s="7" t="str">
        <x:v>UX-016</x:v>
      </x:c>
      <x:c r="B25" s="7" t="str">
        <x:v>Content</x:v>
      </x:c>
      <x:c r="C25" s="7" t="str">
        <x:v>Article Catalog</x:v>
      </x:c>
      <x:c r="D25" s="7" t="str">
        <x:v>Browse useful wedding guidance</x:v>
      </x:c>
      <x:c r="E25" s="7" t="str">
        <x:v>Published content should be scannable, clearly categorized and readable on mobile.</x:v>
      </x:c>
      <x:c r="F25" s="7" t="str">
        <x:v>Published articles auto-populate landing catalog.</x:v>
      </x:c>
      <x:c r="G25" s="7" t="str">
        <x:v>Meets</x:v>
      </x:c>
      <x:c r="H25" s="7" t="str">
        <x:v>Add search/category browsing once article volume grows.</x:v>
      </x:c>
      <x:c r="I25" s="7" t="str">
        <x:v>P1</x:v>
      </x:c>
      <x:c r="J25" s="7" t="str">
        <x:v>Complete without facilitator; SEQ ≥5/7</x:v>
      </x:c>
      <x:c r="K25" s="7" t="str">
        <x:v>Not Tested</x:v>
      </x:c>
      <x:c r="L25" s="7" t="str"/>
      <x:c r="M25" s="7" t="str"/>
      <x:c r="N25" s="7" t="str"/>
      <x:c r="O25" s="7" t="str"/>
      <x:c r="P25" s="7" t="str"/>
      <x:c r="Q25" s="7" t="str"/>
      <x:c r="R25" s="7" t="str"/>
      <x:c r="S25" s="7" t="str"/>
      <x:c r="T25" s="7" t="str">
        <x:v>R01</x:v>
      </x:c>
      <x:c r="U25" s="7"/>
      <x:c r="V25" s="48"/>
    </x:row>
    <x:row r="26">
      <x:c r="A26" s="7" t="str">
        <x:v>UX-017</x:v>
      </x:c>
      <x:c r="B26" s="7" t="str">
        <x:v>Content</x:v>
      </x:c>
      <x:c r="C26" s="7" t="str">
        <x:v>Article Detail</x:v>
      </x:c>
      <x:c r="D26" s="7" t="str">
        <x:v>Read long-form article comfortably</x:v>
      </x:c>
      <x:c r="E26" s="7" t="str">
        <x:v>Reader should provide strong typography, wide hero, bounded readable text width and clear back navigation.</x:v>
      </x:c>
      <x:c r="F26" s="7" t="str">
        <x:v>Dedicated article reader exists; current version was widened in recent iterations.</x:v>
      </x:c>
      <x:c r="G26" s="7" t="str">
        <x:v>Needs User Test</x:v>
      </x:c>
      <x:c r="H26" s="7" t="str">
        <x:v>Test reading comfort on 375px and 1440px, heading hierarchy, link visibility and image alt text.</x:v>
      </x:c>
      <x:c r="I26" s="7" t="str">
        <x:v>P1</x:v>
      </x:c>
      <x:c r="J26" s="7" t="str">
        <x:v>Complete without facilitator; SEQ ≥5/7</x:v>
      </x:c>
      <x:c r="K26" s="7" t="str">
        <x:v>Not Tested</x:v>
      </x:c>
      <x:c r="L26" s="7" t="str"/>
      <x:c r="M26" s="7" t="str"/>
      <x:c r="N26" s="7" t="str"/>
      <x:c r="O26" s="7" t="str"/>
      <x:c r="P26" s="7" t="str"/>
      <x:c r="Q26" s="7" t="str"/>
      <x:c r="R26" s="7" t="str"/>
      <x:c r="S26" s="7" t="str"/>
      <x:c r="T26" s="7" t="str">
        <x:v>R03</x:v>
      </x:c>
      <x:c r="U26" s="7"/>
      <x:c r="V26" s="48"/>
    </x:row>
    <x:row r="27">
      <x:c r="A27" s="7" t="str">
        <x:v>UX-018</x:v>
      </x:c>
      <x:c r="B27" s="7" t="str">
        <x:v>Support</x:v>
      </x:c>
      <x:c r="C27" s="7" t="str">
        <x:v>Live Chat</x:v>
      </x:c>
      <x:c r="D27" s="7" t="str">
        <x:v>Open chat from landing</x:v>
      </x:c>
      <x:c r="E27" s="7" t="str">
        <x:v>Help entry point should be easy to find and consistently available.</x:v>
      </x:c>
      <x:c r="F27" s="7" t="str">
        <x:v>Fixed Live Chat widget is present.</x:v>
      </x:c>
      <x:c r="G27" s="7" t="str">
        <x:v>Meets</x:v>
      </x:c>
      <x:c r="H27" s="7" t="str">
        <x:v>Ensure it does not obscure mobile content and has accessible label/focus.</x:v>
      </x:c>
      <x:c r="I27" s="7" t="str">
        <x:v>P1</x:v>
      </x:c>
      <x:c r="J27" s="7" t="str">
        <x:v>Complete without facilitator; SEQ ≥5/7</x:v>
      </x:c>
      <x:c r="K27" s="7" t="str">
        <x:v>Not Tested</x:v>
      </x:c>
      <x:c r="L27" s="7" t="str"/>
      <x:c r="M27" s="7" t="str"/>
      <x:c r="N27" s="7" t="str"/>
      <x:c r="O27" s="7" t="str"/>
      <x:c r="P27" s="7" t="str"/>
      <x:c r="Q27" s="7" t="str"/>
      <x:c r="R27" s="7" t="str"/>
      <x:c r="S27" s="7" t="str"/>
      <x:c r="T27" s="7" t="str">
        <x:v>R03,R01</x:v>
      </x:c>
      <x:c r="U27" s="7"/>
      <x:c r="V27" s="48"/>
    </x:row>
    <x:row r="28">
      <x:c r="A28" s="7" t="str">
        <x:v>UX-019</x:v>
      </x:c>
      <x:c r="B28" s="7" t="str">
        <x:v>Support</x:v>
      </x:c>
      <x:c r="C28" s="7" t="str">
        <x:v>Live Chat</x:v>
      </x:c>
      <x:c r="D28" s="7" t="str">
        <x:v>Send a message and see it remain visible</x:v>
      </x:c>
      <x:c r="E28" s="7" t="str">
        <x:v>Sent message should appear immediately, persist after refresh and clearly show delivery/error state.</x:v>
      </x:c>
      <x:c r="F28" s="7" t="str">
        <x:v>v0.12+ flow persists messages and uses public conversation token.</x:v>
      </x:c>
      <x:c r="G28" s="7" t="str">
        <x:v>Partial</x:v>
      </x:c>
      <x:c r="H28" s="7" t="str">
        <x:v>Add explicit sending/failed/retry state and unread reply indicator.</x:v>
      </x:c>
      <x:c r="I28" s="7" t="str">
        <x:v>P0</x:v>
      </x:c>
      <x:c r="J28" s="7" t="str">
        <x:v>Complete without facilitator; SEQ ≥5/7</x:v>
      </x:c>
      <x:c r="K28" s="7" t="str">
        <x:v>Not Tested</x:v>
      </x:c>
      <x:c r="L28" s="7" t="str"/>
      <x:c r="M28" s="7" t="str"/>
      <x:c r="N28" s="7" t="str"/>
      <x:c r="O28" s="7" t="str"/>
      <x:c r="P28" s="7" t="str"/>
      <x:c r="Q28" s="7" t="str"/>
      <x:c r="R28" s="7" t="str"/>
      <x:c r="S28" s="7" t="str"/>
      <x:c r="T28" s="7" t="str">
        <x:v>R01</x:v>
      </x:c>
      <x:c r="U28" s="7"/>
      <x:c r="V28" s="48"/>
    </x:row>
    <x:row r="29">
      <x:c r="A29" s="7" t="str">
        <x:v>UX-020</x:v>
      </x:c>
      <x:c r="B29" s="7" t="str">
        <x:v>Invitation</x:v>
      </x:c>
      <x:c r="C29" s="7" t="str">
        <x:v>Public URL</x:v>
      </x:c>
      <x:c r="D29" s="7" t="str">
        <x:v>Open a published invitation without login</x:v>
      </x:c>
      <x:c r="E29" s="7" t="str">
        <x:v>Invitation guest should land directly on the correct wedding site using a stable public URL.</x:v>
      </x:c>
      <x:c r="F29" s="7" t="str">
        <x:v>Public route /:slug renders published WeddingCanvas.</x:v>
      </x:c>
      <x:c r="G29" s="7" t="str">
        <x:v>Meets</x:v>
      </x:c>
      <x:c r="H29" s="7" t="str">
        <x:v>Test invalid/unpublished slug error page and social-share metadata.</x:v>
      </x:c>
      <x:c r="I29" s="7" t="str">
        <x:v>P0</x:v>
      </x:c>
      <x:c r="J29" s="7" t="str">
        <x:v>Complete without facilitator; SEQ ≥5/7</x:v>
      </x:c>
      <x:c r="K29" s="7" t="str">
        <x:v>Not Tested</x:v>
      </x:c>
      <x:c r="L29" s="7" t="str"/>
      <x:c r="M29" s="7" t="str"/>
      <x:c r="N29" s="7" t="str"/>
      <x:c r="O29" s="7" t="str"/>
      <x:c r="P29" s="7" t="str"/>
      <x:c r="Q29" s="7" t="str"/>
      <x:c r="R29" s="7" t="str"/>
      <x:c r="S29" s="7" t="str"/>
      <x:c r="T29" s="7" t="str">
        <x:v>R02</x:v>
      </x:c>
      <x:c r="U29" s="7"/>
      <x:c r="V29" s="48"/>
    </x:row>
    <x:row r="30">
      <x:c r="A30" s="7" t="str">
        <x:v>UX-021</x:v>
      </x:c>
      <x:c r="B30" s="7" t="str">
        <x:v>Invitation</x:v>
      </x:c>
      <x:c r="C30" s="7" t="str">
        <x:v>Buka Undangan</x:v>
      </x:c>
      <x:c r="D30" s="7" t="str">
        <x:v>Understand and open the invitation</x:v>
      </x:c>
      <x:c r="E30" s="7" t="str">
        <x:v>Opening gate must be obvious, editable by Customer/Designer, and not block keyboard users.</x:v>
      </x:c>
      <x:c r="F30" s="7" t="str">
        <x:v>Opening cover supports editable labels and button; public site renders it.</x:v>
      </x:c>
      <x:c r="G30" s="7" t="str">
        <x:v>Needs User Test</x:v>
      </x:c>
      <x:c r="H30" s="7" t="str">
        <x:v>Test keyboard activation, focus order, screen-reader label and motion preference.</x:v>
      </x:c>
      <x:c r="I30" s="7" t="str">
        <x:v>P0</x:v>
      </x:c>
      <x:c r="J30" s="7" t="str">
        <x:v>Complete without facilitator; SEQ ≥5/7</x:v>
      </x:c>
      <x:c r="K30" s="7" t="str">
        <x:v>Not Tested</x:v>
      </x:c>
      <x:c r="L30" s="7" t="str"/>
      <x:c r="M30" s="7" t="str"/>
      <x:c r="N30" s="7" t="str"/>
      <x:c r="O30" s="7" t="str"/>
      <x:c r="P30" s="7" t="str"/>
      <x:c r="Q30" s="7" t="str"/>
      <x:c r="R30" s="7" t="str"/>
      <x:c r="S30" s="7" t="str"/>
      <x:c r="T30" s="7" t="str">
        <x:v>R03</x:v>
      </x:c>
      <x:c r="U30" s="7"/>
      <x:c r="V30" s="48"/>
    </x:row>
    <x:row r="31">
      <x:c r="A31" s="7" t="str">
        <x:v>UX-022</x:v>
      </x:c>
      <x:c r="B31" s="7" t="str">
        <x:v>Invitation</x:v>
      </x:c>
      <x:c r="C31" s="7" t="str">
        <x:v>Sound</x:v>
      </x:c>
      <x:c r="D31" s="7" t="str">
        <x:v>Control background sound</x:v>
      </x:c>
      <x:c r="E31" s="7" t="str">
        <x:v>Audio must not trap or surprise users; users need a clear play/pause control.</x:v>
      </x:c>
      <x:c r="F31" s="7" t="str">
        <x:v>Fixed disc player exists when Sound feature is active.</x:v>
      </x:c>
      <x:c r="G31" s="7" t="str">
        <x:v>Partial</x:v>
      </x:c>
      <x:c r="H31" s="7" t="str">
        <x:v>Validate no unwanted autoplay, persistent pause state and WCAG audio control expectations.</x:v>
      </x:c>
      <x:c r="I31" s="7" t="str">
        <x:v>P0</x:v>
      </x:c>
      <x:c r="J31" s="7" t="str">
        <x:v>Complete without facilitator; SEQ ≥5/7</x:v>
      </x:c>
      <x:c r="K31" s="7" t="str">
        <x:v>Not Tested</x:v>
      </x:c>
      <x:c r="L31" s="7" t="str"/>
      <x:c r="M31" s="7" t="str"/>
      <x:c r="N31" s="7" t="str"/>
      <x:c r="O31" s="7" t="str"/>
      <x:c r="P31" s="7" t="str"/>
      <x:c r="Q31" s="7" t="str"/>
      <x:c r="R31" s="7" t="str"/>
      <x:c r="S31" s="7" t="str"/>
      <x:c r="T31" s="7" t="str">
        <x:v>R01,R03</x:v>
      </x:c>
      <x:c r="U31" s="7"/>
      <x:c r="V31" s="48"/>
    </x:row>
    <x:row r="32">
      <x:c r="A32" s="7" t="str">
        <x:v>UX-023</x:v>
      </x:c>
      <x:c r="B32" s="7" t="str">
        <x:v>Invitation</x:v>
      </x:c>
      <x:c r="C32" s="7" t="str">
        <x:v>Gallery</x:v>
      </x:c>
      <x:c r="D32" s="7" t="str">
        <x:v>Browse wedding photos comfortably</x:v>
      </x:c>
      <x:c r="E32" s="7" t="str">
        <x:v>Carousel transitions should be smooth but user-controllable; full-width mode must not crop key content.</x:v>
      </x:c>
      <x:c r="F32" s="7" t="str">
        <x:v>Carousel/full-width controls exist.</x:v>
      </x:c>
      <x:c r="G32" s="7" t="str">
        <x:v>Needs User Test</x:v>
      </x:c>
      <x:c r="H32" s="7" t="str">
        <x:v>Test swipe, keyboard, previous/next affordance, reduced motion and image loading.</x:v>
      </x:c>
      <x:c r="I32" s="7" t="str">
        <x:v>P1</x:v>
      </x:c>
      <x:c r="J32" s="7" t="str">
        <x:v>Complete without facilitator; SEQ ≥5/7</x:v>
      </x:c>
      <x:c r="K32" s="7" t="str">
        <x:v>Not Tested</x:v>
      </x:c>
      <x:c r="L32" s="7" t="str"/>
      <x:c r="M32" s="7" t="str"/>
      <x:c r="N32" s="7" t="str"/>
      <x:c r="O32" s="7" t="str"/>
      <x:c r="P32" s="7" t="str"/>
      <x:c r="Q32" s="7" t="str"/>
      <x:c r="R32" s="7" t="str"/>
      <x:c r="S32" s="7" t="str"/>
      <x:c r="T32" s="7" t="str">
        <x:v>R03</x:v>
      </x:c>
      <x:c r="U32" s="7"/>
      <x:c r="V32" s="48"/>
    </x:row>
    <x:row r="33">
      <x:c r="A33" s="7" t="str">
        <x:v>UX-024</x:v>
      </x:c>
      <x:c r="B33" s="7" t="str">
        <x:v>Invitation</x:v>
      </x:c>
      <x:c r="C33" s="7" t="str">
        <x:v>Location</x:v>
      </x:c>
      <x:c r="D33" s="7" t="str">
        <x:v>Open venue map</x:v>
      </x:c>
      <x:c r="E33" s="7" t="str">
        <x:v>Map link/QR should be clearly labeled and open the expected venue.</x:v>
      </x:c>
      <x:c r="F33" s="7" t="str">
        <x:v>Location feature supports map link and QR.</x:v>
      </x:c>
      <x:c r="G33" s="7" t="str">
        <x:v>Needs User Test</x:v>
      </x:c>
      <x:c r="H33" s="7" t="str">
        <x:v>Test mobile deep-link behavior and physical QR scan.</x:v>
      </x:c>
      <x:c r="I33" s="7" t="str">
        <x:v>P1</x:v>
      </x:c>
      <x:c r="J33" s="7" t="str">
        <x:v>Complete without facilitator; SEQ ≥5/7</x:v>
      </x:c>
      <x:c r="K33" s="7" t="str">
        <x:v>Not Tested</x:v>
      </x:c>
      <x:c r="L33" s="7" t="str"/>
      <x:c r="M33" s="7" t="str"/>
      <x:c r="N33" s="7" t="str"/>
      <x:c r="O33" s="7" t="str"/>
      <x:c r="P33" s="7" t="str"/>
      <x:c r="Q33" s="7" t="str"/>
      <x:c r="R33" s="7" t="str"/>
      <x:c r="S33" s="7" t="str"/>
      <x:c r="T33" s="7" t="str">
        <x:v>R02</x:v>
      </x:c>
      <x:c r="U33" s="7"/>
      <x:c r="V33" s="48"/>
    </x:row>
    <x:row r="34">
      <x:c r="A34" s="7" t="str">
        <x:v>UX-025</x:v>
      </x:c>
      <x:c r="B34" s="7" t="str">
        <x:v>Invitation</x:v>
      </x:c>
      <x:c r="C34" s="7" t="str">
        <x:v>RSVP</x:v>
      </x:c>
      <x:c r="D34" s="7" t="str">
        <x:v>Submit attendance response</x:v>
      </x:c>
      <x:c r="E34" s="7" t="str">
        <x:v>RSVP should require minimal information, make status/pax clear and provide confirmation.</x:v>
      </x:c>
      <x:c r="F34" s="7" t="str">
        <x:v>Public RSVP API and feature are present.</x:v>
      </x:c>
      <x:c r="G34" s="7" t="str">
        <x:v>Needs User Test</x:v>
      </x:c>
      <x:c r="H34" s="7" t="str">
        <x:v>Test duplicate submission, change-of-mind flow, validation and post-submit confirmation.</x:v>
      </x:c>
      <x:c r="I34" s="7" t="str">
        <x:v>P0</x:v>
      </x:c>
      <x:c r="J34" s="7" t="str">
        <x:v>Complete without facilitator; SEQ ≥5/7</x:v>
      </x:c>
      <x:c r="K34" s="7" t="str">
        <x:v>Not Tested</x:v>
      </x:c>
      <x:c r="L34" s="7" t="str"/>
      <x:c r="M34" s="7" t="str"/>
      <x:c r="N34" s="7" t="str"/>
      <x:c r="O34" s="7" t="str"/>
      <x:c r="P34" s="7" t="str"/>
      <x:c r="Q34" s="7" t="str"/>
      <x:c r="R34" s="7" t="str"/>
      <x:c r="S34" s="7" t="str"/>
      <x:c r="T34" s="7" t="str">
        <x:v>R01</x:v>
      </x:c>
      <x:c r="U34" s="7"/>
      <x:c r="V34" s="48"/>
    </x:row>
    <x:row r="35">
      <x:c r="A35" s="7" t="str">
        <x:v>UX-026</x:v>
      </x:c>
      <x:c r="B35" s="7" t="str">
        <x:v>Invitation</x:v>
      </x:c>
      <x:c r="C35" s="7" t="str">
        <x:v>Greetings</x:v>
      </x:c>
      <x:c r="D35" s="7" t="str">
        <x:v>Send a greeting/message</x:v>
      </x:c>
      <x:c r="E35" s="7" t="str">
        <x:v>User should know message was submitted successfully and whether it will be public.</x:v>
      </x:c>
      <x:c r="F35" s="7" t="str">
        <x:v>Greeting submission exists.</x:v>
      </x:c>
      <x:c r="G35" s="7" t="str">
        <x:v>Partial</x:v>
      </x:c>
      <x:c r="H35" s="7" t="str">
        <x:v>Add explicit privacy/moderation copy and success/duplicate/error states.</x:v>
      </x:c>
      <x:c r="I35" s="7" t="str">
        <x:v>P1</x:v>
      </x:c>
      <x:c r="J35" s="7" t="str">
        <x:v>Complete without facilitator; SEQ ≥5/7</x:v>
      </x:c>
      <x:c r="K35" s="7" t="str">
        <x:v>Not Tested</x:v>
      </x:c>
      <x:c r="L35" s="7" t="str"/>
      <x:c r="M35" s="7" t="str"/>
      <x:c r="N35" s="7" t="str"/>
      <x:c r="O35" s="7" t="str"/>
      <x:c r="P35" s="7" t="str"/>
      <x:c r="Q35" s="7" t="str"/>
      <x:c r="R35" s="7" t="str"/>
      <x:c r="S35" s="7" t="str"/>
      <x:c r="T35" s="7" t="str">
        <x:v>R01</x:v>
      </x:c>
      <x:c r="U35" s="7"/>
      <x:c r="V35" s="48"/>
    </x:row>
    <x:row r="36">
      <x:c r="A36" s="7" t="str">
        <x:v>UX-027</x:v>
      </x:c>
      <x:c r="B36" s="7" t="str">
        <x:v>Accessibility</x:v>
      </x:c>
      <x:c r="C36" s="7" t="str">
        <x:v>Keyboard</x:v>
      </x:c>
      <x:c r="D36" s="7" t="str">
        <x:v>Complete key Viewer journeys with keyboard only</x:v>
      </x:c>
      <x:c r="E36" s="7" t="str">
        <x:v>All interactive functionality should be keyboard reachable with visible focus.</x:v>
      </x:c>
      <x:c r="F36" s="7" t="str">
        <x:v>Source contains many buttons/links but no comprehensive keyboard audit evidence.</x:v>
      </x:c>
      <x:c r="G36" s="7" t="str">
        <x:v>Needs User Test</x:v>
      </x:c>
      <x:c r="H36" s="7" t="str">
        <x:v>Run keyboard-only landing → template → checkout and public invitation → RSVP.</x:v>
      </x:c>
      <x:c r="I36" s="7" t="str">
        <x:v>P0</x:v>
      </x:c>
      <x:c r="J36" s="7" t="str">
        <x:v>Complete without facilitator; SEQ ≥5/7</x:v>
      </x:c>
      <x:c r="K36" s="7" t="str">
        <x:v>Not Tested</x:v>
      </x:c>
      <x:c r="L36" s="7" t="str"/>
      <x:c r="M36" s="7" t="str"/>
      <x:c r="N36" s="7" t="str"/>
      <x:c r="O36" s="7" t="str"/>
      <x:c r="P36" s="7" t="str"/>
      <x:c r="Q36" s="7" t="str"/>
      <x:c r="R36" s="7" t="str"/>
      <x:c r="S36" s="7" t="str"/>
      <x:c r="T36" s="7" t="str">
        <x:v>R03</x:v>
      </x:c>
      <x:c r="U36" s="7"/>
      <x:c r="V36" s="48"/>
    </x:row>
    <x:row r="37">
      <x:c r="A37" s="7" t="str">
        <x:v>UX-028</x:v>
      </x:c>
      <x:c r="B37" s="7" t="str">
        <x:v>Accessibility</x:v>
      </x:c>
      <x:c r="C37" s="7" t="str">
        <x:v>Targets</x:v>
      </x:c>
      <x:c r="D37" s="7" t="str">
        <x:v>Activate mobile controls without mis-taps</x:v>
      </x:c>
      <x:c r="E37" s="7" t="str">
        <x:v>Touch targets should meet WCAG 2.2 target size/spacing expectations.</x:v>
      </x:c>
      <x:c r="F37" s="7" t="str">
        <x:v>Icon and compact controls exist throughout Viewer flows.</x:v>
      </x:c>
      <x:c r="G37" s="7" t="str">
        <x:v>Needs User Test</x:v>
      </x:c>
      <x:c r="H37" s="7" t="str">
        <x:v>Measure key controls and increase compact target hit areas where needed.</x:v>
      </x:c>
      <x:c r="I37" s="7" t="str">
        <x:v>P1</x:v>
      </x:c>
      <x:c r="J37" s="7" t="str">
        <x:v>Complete without facilitator; SEQ ≥5/7</x:v>
      </x:c>
      <x:c r="K37" s="7" t="str">
        <x:v>Not Tested</x:v>
      </x:c>
      <x:c r="L37" s="7" t="str"/>
      <x:c r="M37" s="7" t="str"/>
      <x:c r="N37" s="7" t="str"/>
      <x:c r="O37" s="7" t="str"/>
      <x:c r="P37" s="7" t="str"/>
      <x:c r="Q37" s="7" t="str"/>
      <x:c r="R37" s="7" t="str"/>
      <x:c r="S37" s="7" t="str"/>
      <x:c r="T37" s="7" t="str">
        <x:v>R05</x:v>
      </x:c>
      <x:c r="U37" s="7"/>
      <x:c r="V37" s="48"/>
    </x:row>
    <x:row r="38">
      <x:c r="A38" s="7" t="str">
        <x:v>UX-029</x:v>
      </x:c>
      <x:c r="B38" s="7" t="str">
        <x:v>Accessibility</x:v>
      </x:c>
      <x:c r="C38" s="7" t="str">
        <x:v>Motion</x:v>
      </x:c>
      <x:c r="D38" s="7" t="str">
        <x:v>Use site with reduced-motion preference</x:v>
      </x:c>
      <x:c r="E38" s="7" t="str">
        <x:v>Non-essential animation should respect reduced-motion preferences and remain understandable.</x:v>
      </x:c>
      <x:c r="F38" s="7" t="str">
        <x:v>Background motion/entrance animations are prominent; source audit does not establish global prefers-reduced-motion behavior.</x:v>
      </x:c>
      <x:c r="G38" s="7" t="str">
        <x:v>Gap</x:v>
      </x:c>
      <x:c r="H38" s="7" t="str">
        <x:v>Add prefers-reduced-motion fallback for public templates and previews.</x:v>
      </x:c>
      <x:c r="I38" s="7" t="str">
        <x:v>P1</x:v>
      </x:c>
      <x:c r="J38" s="7" t="str">
        <x:v>Complete without facilitator; SEQ ≥5/7</x:v>
      </x:c>
      <x:c r="K38" s="7" t="str">
        <x:v>Not Tested</x:v>
      </x:c>
      <x:c r="L38" s="7" t="str"/>
      <x:c r="M38" s="7" t="str"/>
      <x:c r="N38" s="7" t="str"/>
      <x:c r="O38" s="7" t="str"/>
      <x:c r="P38" s="7" t="str"/>
      <x:c r="Q38" s="7" t="str"/>
      <x:c r="R38" s="7" t="str"/>
      <x:c r="S38" s="7" t="str"/>
      <x:c r="T38" s="7" t="str">
        <x:v>R03</x:v>
      </x:c>
      <x:c r="U38" s="7"/>
      <x:c r="V38" s="48"/>
    </x:row>
    <x:row r="39">
      <x:c r="V39" s="50"/>
    </x:row>
    <x:row r="40">
      <x:c r="V40" s="50"/>
    </x:row>
    <x:row r="41">
      <x:c r="V41" s="50"/>
    </x:row>
    <x:row r="42">
      <x:c r="V42" s="50"/>
    </x:row>
    <x:row r="43">
      <x:c r="V43" s="50"/>
    </x:row>
    <x:row r="44">
      <x:c r="V44" s="50"/>
    </x:row>
    <x:row r="45">
      <x:c r="V45" s="50"/>
    </x:row>
    <x:row r="46">
      <x:c r="V46" s="50"/>
    </x:row>
    <x:row r="47">
      <x:c r="V47" s="50"/>
    </x:row>
    <x:row r="48">
      <x:c r="V48" s="50"/>
    </x:row>
    <x:row r="49">
      <x:c r="V49" s="50"/>
    </x:row>
    <x:row r="50">
      <x:c r="V50" s="50"/>
    </x:row>
    <x:row r="51">
      <x:c r="V51" s="50"/>
    </x:row>
    <x:row r="52">
      <x:c r="V52" s="50"/>
    </x:row>
    <x:row r="53">
      <x:c r="V53" s="50"/>
    </x:row>
    <x:row r="54">
      <x:c r="V54" s="50"/>
    </x:row>
    <x:row r="55">
      <x:c r="V55" s="50"/>
    </x:row>
    <x:row r="56">
      <x:c r="V56" s="50"/>
    </x:row>
    <x:row r="57">
      <x:c r="V57" s="50"/>
    </x:row>
    <x:row r="58">
      <x:c r="V58" s="50"/>
    </x:row>
    <x:row r="59">
      <x:c r="V59" s="50"/>
    </x:row>
    <x:row r="60">
      <x:c r="V60" s="50"/>
    </x:row>
    <x:row r="61">
      <x:c r="V61" s="50"/>
    </x:row>
    <x:row r="62">
      <x:c r="V62" s="50"/>
    </x:row>
    <x:row r="63">
      <x:c r="V63" s="50"/>
    </x:row>
    <x:row r="64">
      <x:c r="V64" s="50"/>
    </x:row>
    <x:row r="65">
      <x:c r="V65" s="50"/>
    </x:row>
    <x:row r="66">
      <x:c r="V66" s="50"/>
    </x:row>
    <x:row r="67">
      <x:c r="V67" s="50"/>
    </x:row>
    <x:row r="68">
      <x:c r="V68" s="50"/>
    </x:row>
    <x:row r="69">
      <x:c r="V69" s="50"/>
    </x:row>
    <x:row r="70">
      <x:c r="V70" s="50"/>
    </x:row>
    <x:row r="71">
      <x:c r="V71" s="50"/>
    </x:row>
    <x:row r="72">
      <x:c r="V72" s="50"/>
    </x:row>
    <x:row r="73">
      <x:c r="V73" s="50"/>
    </x:row>
    <x:row r="74">
      <x:c r="V74" s="50"/>
    </x:row>
    <x:row r="75">
      <x:c r="V75" s="50"/>
    </x:row>
    <x:row r="76">
      <x:c r="V76" s="50"/>
    </x:row>
    <x:row r="77">
      <x:c r="V77" s="50"/>
    </x:row>
    <x:row r="78">
      <x:c r="V78" s="50"/>
    </x:row>
    <x:row r="79">
      <x:c r="V79" s="50"/>
    </x:row>
    <x:row r="80">
      <x:c r="V80" s="50"/>
    </x:row>
    <x:row r="81">
      <x:c r="V81" s="50"/>
    </x:row>
    <x:row r="82">
      <x:c r="V82" s="50"/>
    </x:row>
    <x:row r="83">
      <x:c r="V83" s="50"/>
    </x:row>
    <x:row r="84">
      <x:c r="V84" s="50"/>
    </x:row>
    <x:row r="85">
      <x:c r="V85" s="50"/>
    </x:row>
    <x:row r="86">
      <x:c r="V86" s="50"/>
    </x:row>
    <x:row r="87">
      <x:c r="V87" s="50"/>
    </x:row>
    <x:row r="88">
      <x:c r="V88" s="50"/>
    </x:row>
    <x:row r="89">
      <x:c r="V89" s="50"/>
    </x:row>
    <x:row r="90">
      <x:c r="V90" s="50"/>
    </x:row>
    <x:row r="91">
      <x:c r="V91" s="50"/>
    </x:row>
    <x:row r="92">
      <x:c r="V92" s="50"/>
    </x:row>
    <x:row r="93">
      <x:c r="V93" s="50"/>
    </x:row>
    <x:row r="94">
      <x:c r="V94" s="50"/>
    </x:row>
    <x:row r="95">
      <x:c r="V95" s="50"/>
    </x:row>
    <x:row r="96">
      <x:c r="V96" s="50"/>
    </x:row>
    <x:row r="97">
      <x:c r="V97" s="50"/>
    </x:row>
    <x:row r="98">
      <x:c r="V98" s="50"/>
    </x:row>
    <x:row r="99">
      <x:c r="V99" s="50"/>
    </x:row>
    <x:row r="100">
      <x:c r="V100" s="50"/>
    </x:row>
    <x:row r="101">
      <x:c r="V101" s="50"/>
    </x:row>
    <x:row r="102">
      <x:c r="V102" s="50"/>
    </x:row>
    <x:row r="103">
      <x:c r="V103" s="50"/>
    </x:row>
    <x:row r="104">
      <x:c r="V104" s="50"/>
    </x:row>
    <x:row r="105">
      <x:c r="V105" s="50"/>
    </x:row>
    <x:row r="106">
      <x:c r="V106" s="50"/>
    </x:row>
    <x:row r="107">
      <x:c r="V107" s="50"/>
    </x:row>
    <x:row r="108">
      <x:c r="V108" s="50"/>
    </x:row>
    <x:row r="109">
      <x:c r="V109" s="50"/>
    </x:row>
    <x:row r="110">
      <x:c r="V110" s="50"/>
    </x:row>
    <x:row r="111">
      <x:c r="V111" s="50"/>
    </x:row>
    <x:row r="112">
      <x:c r="V112" s="50"/>
    </x:row>
    <x:row r="113">
      <x:c r="V113" s="50"/>
    </x:row>
    <x:row r="114">
      <x:c r="V114" s="50"/>
    </x:row>
    <x:row r="115">
      <x:c r="V115" s="50"/>
    </x:row>
    <x:row r="116">
      <x:c r="V116" s="50"/>
    </x:row>
    <x:row r="117">
      <x:c r="V117" s="50"/>
    </x:row>
    <x:row r="118">
      <x:c r="V118" s="50"/>
    </x:row>
    <x:row r="119">
      <x:c r="V119" s="50"/>
    </x:row>
    <x:row r="120">
      <x:c r="V120" s="50"/>
    </x:row>
    <x:row r="121">
      <x:c r="V121" s="50"/>
    </x:row>
    <x:row r="122">
      <x:c r="V122" s="50"/>
    </x:row>
    <x:row r="123">
      <x:c r="V123" s="50"/>
    </x:row>
    <x:row r="124">
      <x:c r="V124" s="50"/>
    </x:row>
    <x:row r="125">
      <x:c r="V125" s="50"/>
    </x:row>
    <x:row r="126">
      <x:c r="V126" s="50"/>
    </x:row>
    <x:row r="127">
      <x:c r="V127" s="50"/>
    </x:row>
    <x:row r="128">
      <x:c r="V128" s="50"/>
    </x:row>
    <x:row r="129">
      <x:c r="V129" s="50"/>
    </x:row>
    <x:row r="130">
      <x:c r="V130" s="50"/>
    </x:row>
    <x:row r="131">
      <x:c r="V131" s="50"/>
    </x:row>
    <x:row r="132">
      <x:c r="V132" s="50"/>
    </x:row>
    <x:row r="133">
      <x:c r="V133" s="50"/>
    </x:row>
    <x:row r="134">
      <x:c r="V134" s="50"/>
    </x:row>
    <x:row r="135">
      <x:c r="V135" s="50"/>
    </x:row>
    <x:row r="136">
      <x:c r="V136" s="50"/>
    </x:row>
    <x:row r="137">
      <x:c r="V137" s="50"/>
    </x:row>
    <x:row r="138">
      <x:c r="V138" s="50"/>
    </x:row>
    <x:row r="139">
      <x:c r="V139" s="50"/>
    </x:row>
    <x:row r="140">
      <x:c r="V140" s="50"/>
    </x:row>
    <x:row r="141">
      <x:c r="V141" s="50"/>
    </x:row>
    <x:row r="142">
      <x:c r="V142" s="50"/>
    </x:row>
    <x:row r="143">
      <x:c r="V143" s="50"/>
    </x:row>
    <x:row r="144">
      <x:c r="V144" s="50"/>
    </x:row>
    <x:row r="145">
      <x:c r="V145" s="50"/>
    </x:row>
    <x:row r="146">
      <x:c r="V146" s="50"/>
    </x:row>
    <x:row r="147">
      <x:c r="V147" s="50"/>
    </x:row>
    <x:row r="148">
      <x:c r="V148" s="50"/>
    </x:row>
    <x:row r="149">
      <x:c r="V149" s="50"/>
    </x:row>
    <x:row r="150">
      <x:c r="V150" s="50"/>
    </x:row>
    <x:row r="151">
      <x:c r="V151" s="50"/>
    </x:row>
    <x:row r="152">
      <x:c r="V152" s="50"/>
    </x:row>
    <x:row r="153">
      <x:c r="V153" s="50"/>
    </x:row>
    <x:row r="154">
      <x:c r="V154" s="50"/>
    </x:row>
    <x:row r="155">
      <x:c r="V155" s="50"/>
    </x:row>
    <x:row r="156">
      <x:c r="V156" s="50"/>
    </x:row>
    <x:row r="157">
      <x:c r="V157" s="50"/>
    </x:row>
    <x:row r="158">
      <x:c r="V158" s="50"/>
    </x:row>
    <x:row r="159">
      <x:c r="V159" s="50"/>
    </x:row>
    <x:row r="160">
      <x:c r="V160" s="50"/>
    </x:row>
    <x:row r="161">
      <x:c r="V161" s="50"/>
    </x:row>
    <x:row r="162">
      <x:c r="V162" s="50"/>
    </x:row>
    <x:row r="163">
      <x:c r="V163" s="50"/>
    </x:row>
    <x:row r="164">
      <x:c r="V164" s="50"/>
    </x:row>
    <x:row r="165">
      <x:c r="V165" s="50"/>
    </x:row>
    <x:row r="166">
      <x:c r="V166" s="50"/>
    </x:row>
    <x:row r="167">
      <x:c r="V167" s="50"/>
    </x:row>
    <x:row r="168">
      <x:c r="V168" s="50"/>
    </x:row>
    <x:row r="169">
      <x:c r="V169" s="50"/>
    </x:row>
    <x:row r="170">
      <x:c r="V170" s="50"/>
    </x:row>
    <x:row r="171">
      <x:c r="V171" s="50"/>
    </x:row>
    <x:row r="172">
      <x:c r="V172" s="50"/>
    </x:row>
    <x:row r="173">
      <x:c r="V173" s="50"/>
    </x:row>
    <x:row r="174">
      <x:c r="V174" s="50"/>
    </x:row>
    <x:row r="175">
      <x:c r="V175" s="50"/>
    </x:row>
    <x:row r="176">
      <x:c r="V176" s="50"/>
    </x:row>
    <x:row r="177">
      <x:c r="V177" s="50"/>
    </x:row>
    <x:row r="178">
      <x:c r="V178" s="50"/>
    </x:row>
    <x:row r="179">
      <x:c r="V179" s="50"/>
    </x:row>
    <x:row r="180">
      <x:c r="V180" s="50"/>
    </x:row>
    <x:row r="181">
      <x:c r="V181" s="50"/>
    </x:row>
    <x:row r="182">
      <x:c r="V182" s="50"/>
    </x:row>
    <x:row r="183">
      <x:c r="V183" s="50"/>
    </x:row>
    <x:row r="184">
      <x:c r="V184" s="50"/>
    </x:row>
    <x:row r="185">
      <x:c r="V185" s="50"/>
    </x:row>
    <x:row r="186">
      <x:c r="V186" s="50"/>
    </x:row>
    <x:row r="187">
      <x:c r="V187" s="50"/>
    </x:row>
    <x:row r="188">
      <x:c r="V188" s="50"/>
    </x:row>
    <x:row r="189">
      <x:c r="V189" s="50"/>
    </x:row>
    <x:row r="190">
      <x:c r="V190" s="50"/>
    </x:row>
    <x:row r="191">
      <x:c r="V191" s="50"/>
    </x:row>
    <x:row r="192">
      <x:c r="V192" s="50"/>
    </x:row>
    <x:row r="193">
      <x:c r="V193" s="50"/>
    </x:row>
    <x:row r="194">
      <x:c r="V194" s="50"/>
    </x:row>
    <x:row r="195">
      <x:c r="V195" s="50"/>
    </x:row>
    <x:row r="196">
      <x:c r="V196" s="50"/>
    </x:row>
    <x:row r="197">
      <x:c r="V197" s="50"/>
    </x:row>
    <x:row r="198">
      <x:c r="V198" s="50"/>
    </x:row>
    <x:row r="199">
      <x:c r="V199" s="50"/>
    </x:row>
    <x:row r="200">
      <x:c r="V200" s="50"/>
    </x:row>
  </x:sheetData>
  <x:mergeCells>
    <x:mergeCell ref="A1:T1"/>
    <x:mergeCell ref="D3:H7"/>
  </x:mergeCells>
  <x:conditionalFormatting sqref="G10:G38">
    <x:cfRule type="expression" dxfId="6" priority="1">
      <x:formula>G10="Meets"</x:formula>
    </x:cfRule>
    <x:cfRule type="expression" dxfId="7" priority="2">
      <x:formula>G10="Partial"</x:formula>
    </x:cfRule>
    <x:cfRule type="expression" dxfId="8" priority="3">
      <x:formula>G10="Gap"</x:formula>
    </x:cfRule>
    <x:cfRule type="expression" dxfId="9" priority="4">
      <x:formula>G10="Needs User Test"</x:formula>
    </x:cfRule>
  </x:conditionalFormatting>
  <x:conditionalFormatting sqref="K10:K38">
    <x:cfRule type="expression" dxfId="10" priority="5">
      <x:formula>K10="Pass"</x:formula>
    </x:cfRule>
    <x:cfRule type="expression" dxfId="11" priority="6">
      <x:formula>K10="Fail"</x:formula>
    </x:cfRule>
  </x:conditionalFormatting>
  <x:dataValidations count="7">
    <x:dataValidation type="list" sqref="G10:G38">
      <x:formula1>"Meets,Partial,Gap,Needs User Test"</x:formula1>
    </x:dataValidation>
    <x:dataValidation type="list" sqref="I10:I38">
      <x:formula1>"P0,P1,P2"</x:formula1>
    </x:dataValidation>
    <x:dataValidation type="list" sqref="K10:K38">
      <x:formula1>"Not Tested,Pass,Fail,Blocked"</x:formula1>
    </x:dataValidation>
    <x:dataValidation type="list" sqref="L10:L38">
      <x:formula1>"Yes,No,N/A"</x:formula1>
    </x:dataValidation>
    <x:dataValidation type="list" sqref="O10:O38">
      <x:formula1>"None,Hint,Direct"</x:formula1>
    </x:dataValidation>
    <x:dataValidation type="list" sqref="P10:P38">
      <x:formula1>"1,2,3,4,5,6,7"</x:formula1>
    </x:dataValidation>
    <x:dataValidation type="list" sqref="Q10:Q38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8805aa4655454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22" hidden="0" customWidth="1"/>
    <x:col min="4" max="4" width="40" hidden="0" customWidth="1"/>
    <x:col min="5" max="5" width="50" hidden="0" customWidth="1"/>
    <x:col min="6" max="6" width="50" hidden="0" customWidth="1"/>
    <x:col min="7" max="7" width="18" hidden="0" customWidth="1"/>
    <x:col min="8" max="8" width="50" hidden="0" customWidth="1"/>
    <x:col min="9" max="9" width="10" hidden="0" customWidth="1"/>
    <x:col min="10" max="10" width="34" hidden="0" customWidth="1"/>
    <x:col min="11" max="11" width="14" hidden="0" customWidth="1"/>
    <x:col min="12" max="12" width="13" hidden="0" customWidth="1"/>
    <x:col min="13" max="13" width="12" hidden="0" customWidth="1"/>
    <x:col min="14" max="14" width="10" hidden="0" customWidth="1"/>
    <x:col min="15" max="15" width="12" hidden="0" customWidth="1"/>
    <x:col min="16" max="16" width="11" hidden="0" customWidth="1"/>
    <x:col min="17" max="17" width="15" hidden="0" customWidth="1"/>
    <x:col min="18" max="18" width="48" hidden="0" customWidth="1"/>
    <x:col min="19" max="19" width="14" hidden="0" customWidth="1"/>
    <x:col min="20" max="20" width="16" hidden="0" customWidth="1"/>
    <x:col min="21" max="21" width="36" hidden="0" customWidth="1"/>
    <x:col min="22" max="22" width="14" hidden="0" customWidth="1"/>
  </x:cols>
  <x:sheetData>
    <x:row r="1" ht="28" customHeight="1">
      <x:c r="A1" s="14" t="str">
        <x:v>Customer — UX QA Form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</x:row>
    <x:row r="3">
      <x:c r="A3" s="22" t="str">
        <x:v>Role Definition</x:v>
      </x:c>
      <x:c r="B3" s="7" t="str">
        <x:v>Registered wedding customer / site owner</x:v>
      </x:c>
      <x:c r="D3" s="27" t="str">
        <x:v>Moderator instruction: berikan task, bukan langkah. Jangan mengajari tester sebelum task selesai. Catat apakah task selesai tanpa bantuan, waktu, error, bantuan yang dibutuhkan, SEQ (1=sangat sulit, 7=sangat mudah), dan confidence (1=tidak yakin, 5=sangat yakin). Functional Pass tidak otomatis berarti UX nyaman.</x:v>
      </x:c>
      <x:c r="E3" s="27"/>
      <x:c r="F3" s="27"/>
      <x:c r="G3" s="27"/>
      <x:c r="H3" s="27"/>
    </x:row>
    <x:row r="4">
      <x:c r="A4" s="22" t="str">
        <x:v>Critical Journey</x:v>
      </x:c>
      <x:c r="B4" s="7" t="str">
        <x:v>Verify/Login → Dashboard/Project → Website Content → Guest List/RSVP → Preview/Publish → Support</x:v>
      </x:c>
      <x:c r="D4" s="27"/>
      <x:c r="E4" s="27"/>
      <x:c r="F4" s="27"/>
      <x:c r="G4" s="27"/>
      <x:c r="H4" s="27"/>
    </x:row>
    <x:row r="5">
      <x:c r="A5" s="22" t="str">
        <x:v>Tester Name</x:v>
      </x:c>
      <x:c r="B5" s="7" t="str"/>
      <x:c r="D5" s="27"/>
      <x:c r="E5" s="27"/>
      <x:c r="F5" s="27"/>
      <x:c r="G5" s="27"/>
      <x:c r="H5" s="27"/>
    </x:row>
    <x:row r="6">
      <x:c r="A6" s="22" t="str">
        <x:v>Device / Browser</x:v>
      </x:c>
      <x:c r="B6" s="7" t="str"/>
      <x:c r="D6" s="27"/>
      <x:c r="E6" s="27"/>
      <x:c r="F6" s="27"/>
      <x:c r="G6" s="27"/>
      <x:c r="H6" s="27"/>
    </x:row>
    <x:row r="7">
      <x:c r="A7" s="22" t="str">
        <x:v>Build / Date</x:v>
      </x:c>
      <x:c r="B7" s="7" t="str">
        <x:v>v0.13 / </x:v>
      </x:c>
      <x:c r="D7" s="27"/>
      <x:c r="E7" s="27"/>
      <x:c r="F7" s="27"/>
      <x:c r="G7" s="27"/>
      <x:c r="H7" s="27"/>
    </x:row>
    <x:row r="9">
      <x:c r="A9" s="6" t="str">
        <x:v>QA ID</x:v>
      </x:c>
      <x:c r="B9" s="6" t="str">
        <x:v>Stage</x:v>
      </x:c>
      <x:c r="C9" s="6" t="str">
        <x:v>Feature</x:v>
      </x:c>
      <x:c r="D9" s="6" t="str">
        <x:v>Task / Scenario</x:v>
      </x:c>
      <x:c r="E9" s="6" t="str">
        <x:v>Expected UX</x:v>
      </x:c>
      <x:c r="F9" s="6" t="str">
        <x:v>Current v0.13</x:v>
      </x:c>
      <x:c r="G9" s="6" t="str">
        <x:v>Pre-Audit</x:v>
      </x:c>
      <x:c r="H9" s="6" t="str">
        <x:v>Recommendation</x:v>
      </x:c>
      <x:c r="I9" s="6" t="str">
        <x:v>Priority</x:v>
      </x:c>
      <x:c r="J9" s="6" t="str">
        <x:v>Target</x:v>
      </x:c>
      <x:c r="K9" s="6" t="str">
        <x:v>Tester Result</x:v>
      </x:c>
      <x:c r="L9" s="6" t="str">
        <x:v>Task Success</x:v>
      </x:c>
      <x:c r="M9" s="6" t="str">
        <x:v>Time sec</x:v>
      </x:c>
      <x:c r="N9" s="6" t="str">
        <x:v>Errors</x:v>
      </x:c>
      <x:c r="O9" s="6" t="str">
        <x:v>Assistance</x:v>
      </x:c>
      <x:c r="P9" s="6" t="str">
        <x:v>SEQ 1-7</x:v>
      </x:c>
      <x:c r="Q9" s="6" t="str">
        <x:v>Confidence 1-5</x:v>
      </x:c>
      <x:c r="R9" s="6" t="str">
        <x:v>Actual Observation</x:v>
      </x:c>
      <x:c r="S9" s="6" t="str">
        <x:v>Defect ID</x:v>
      </x:c>
      <x:c r="T9" s="6" t="str">
        <x:v>Source IDs</x:v>
      </x:c>
      <x:c r="U9" s="3" t="str">
        <x:v>Tester Notes</x:v>
      </x:c>
      <x:c r="V9" s="3" t="str">
        <x:v>Test Date</x:v>
      </x:c>
    </x:row>
    <x:row r="10">
      <x:c r="A10" s="7" t="str">
        <x:v>UX-030</x:v>
      </x:c>
      <x:c r="B10" s="7" t="str">
        <x:v>Identity</x:v>
      </x:c>
      <x:c r="C10" s="7" t="str">
        <x:v>Role Language</x:v>
      </x:c>
      <x:c r="D10" s="7" t="str">
        <x:v>Recognize own role and navigation</x:v>
      </x:c>
      <x:c r="E10" s="7" t="str">
        <x:v>Role labels should match business language used with customers.</x:v>
      </x:c>
      <x:c r="F10" s="7" t="str">
        <x:v>Backend/UI primarily calls the role 'User'; requested product language is 'Customer'.</x:v>
      </x:c>
      <x:c r="G10" s="7" t="str">
        <x:v>Gap</x:v>
      </x:c>
      <x:c r="H10" s="7" t="str">
        <x:v>Rename customer-facing role/UI from User to Customer while keeping internal role IDs stable.</x:v>
      </x:c>
      <x:c r="I10" s="7" t="str">
        <x:v>P0</x:v>
      </x:c>
      <x:c r="J10" s="7" t="str">
        <x:v>Complete without facilitator; SEQ ≥5/7</x:v>
      </x:c>
      <x:c r="K10" s="7" t="str">
        <x:v>Not Tested</x:v>
      </x:c>
      <x:c r="L10" s="7" t="str"/>
      <x:c r="M10" s="7" t="str"/>
      <x:c r="N10" s="7" t="str"/>
      <x:c r="O10" s="7" t="str"/>
      <x:c r="P10" s="7" t="str"/>
      <x:c r="Q10" s="7" t="str"/>
      <x:c r="R10" s="7" t="str"/>
      <x:c r="S10" s="7" t="str"/>
      <x:c r="T10" s="7" t="str">
        <x:v>R01</x:v>
      </x:c>
      <x:c r="U10" s="7"/>
      <x:c r="V10" s="48"/>
    </x:row>
    <x:row r="11">
      <x:c r="A11" s="7" t="str">
        <x:v>UX-031</x:v>
      </x:c>
      <x:c r="B11" s="7" t="str">
        <x:v>Authentication</x:v>
      </x:c>
      <x:c r="C11" s="7" t="str">
        <x:v>Login</x:v>
      </x:c>
      <x:c r="D11" s="7" t="str">
        <x:v>Sign in without internal/debug information</x:v>
      </x:c>
      <x:c r="E11" s="7" t="str">
        <x:v>Login should contain only information needed to authenticate and recover access.</x:v>
      </x:c>
      <x:c r="F11" s="7" t="str">
        <x:v>Login pre-fills admin/admin and displays Superadmin hints/default credentials.</x:v>
      </x:c>
      <x:c r="G11" s="7" t="str">
        <x:v>Gap</x:v>
      </x:c>
      <x:c r="H11" s="7" t="str">
        <x:v>Remove default admin credentials and database wording from non-local development builds.</x:v>
      </x:c>
      <x:c r="I11" s="7" t="str">
        <x:v>P0</x:v>
      </x:c>
      <x:c r="J11" s="7" t="str">
        <x:v>Complete without facilitator; SEQ ≥5/7</x:v>
      </x:c>
      <x:c r="K11" s="7" t="str">
        <x:v>Not Tested</x:v>
      </x:c>
      <x:c r="L11" s="7" t="str"/>
      <x:c r="M11" s="7" t="str"/>
      <x:c r="N11" s="7" t="str"/>
      <x:c r="O11" s="7" t="str"/>
      <x:c r="P11" s="7" t="str"/>
      <x:c r="Q11" s="7" t="str"/>
      <x:c r="R11" s="7" t="str"/>
      <x:c r="S11" s="7" t="str"/>
      <x:c r="T11" s="7" t="str">
        <x:v>R01,R03</x:v>
      </x:c>
      <x:c r="U11" s="7"/>
      <x:c r="V11" s="48"/>
    </x:row>
    <x:row r="12">
      <x:c r="A12" s="7" t="str">
        <x:v>UX-032</x:v>
      </x:c>
      <x:c r="B12" s="7" t="str">
        <x:v>Authentication</x:v>
      </x:c>
      <x:c r="C12" s="7" t="str">
        <x:v>Password</x:v>
      </x:c>
      <x:c r="D12" s="7" t="str">
        <x:v>Show/hide password intentionally</x:v>
      </x:c>
      <x:c r="E12" s="7" t="str">
        <x:v>Password reveal should be keyboard accessible and preserve value.</x:v>
      </x:c>
      <x:c r="F12" s="7" t="str">
        <x:v>Show/hide buttons exist for login and registration.</x:v>
      </x:c>
      <x:c r="G12" s="7" t="str">
        <x:v>Meets</x:v>
      </x:c>
      <x:c r="H12" s="7" t="str">
        <x:v>Add aria-label/state text and test screen readers.</x:v>
      </x:c>
      <x:c r="I12" s="7" t="str">
        <x:v>P1</x:v>
      </x:c>
      <x:c r="J12" s="7" t="str">
        <x:v>Complete without facilitator; SEQ ≥5/7</x:v>
      </x:c>
      <x:c r="K12" s="7" t="str">
        <x:v>Not Tested</x:v>
      </x:c>
      <x:c r="L12" s="7" t="str"/>
      <x:c r="M12" s="7" t="str"/>
      <x:c r="N12" s="7" t="str"/>
      <x:c r="O12" s="7" t="str"/>
      <x:c r="P12" s="7" t="str"/>
      <x:c r="Q12" s="7" t="str"/>
      <x:c r="R12" s="7" t="str"/>
      <x:c r="S12" s="7" t="str"/>
      <x:c r="T12" s="7" t="str">
        <x:v>R03</x:v>
      </x:c>
      <x:c r="U12" s="7"/>
      <x:c r="V12" s="48"/>
    </x:row>
    <x:row r="13">
      <x:c r="A13" s="7" t="str">
        <x:v>UX-033</x:v>
      </x:c>
      <x:c r="B13" s="7" t="str">
        <x:v>Authentication</x:v>
      </x:c>
      <x:c r="C13" s="7" t="str">
        <x:v>Registration</x:v>
      </x:c>
      <x:c r="D13" s="7" t="str">
        <x:v>Create an account with password confirmation</x:v>
      </x:c>
      <x:c r="E13" s="7" t="str">
        <x:v>Registration should validate required fields, password confirmation, duplicate identity and verification state.</x:v>
      </x:c>
      <x:c r="F13" s="7" t="str">
        <x:v>Signup requires repeat password and email verification.</x:v>
      </x:c>
      <x:c r="G13" s="7" t="str">
        <x:v>Meets</x:v>
      </x:c>
      <x:c r="H13" s="7" t="str">
        <x:v>Add password requirements before submission and resend-verification UX.</x:v>
      </x:c>
      <x:c r="I13" s="7" t="str">
        <x:v>P1</x:v>
      </x:c>
      <x:c r="J13" s="7" t="str">
        <x:v>Complete without facilitator; SEQ ≥5/7</x:v>
      </x:c>
      <x:c r="K13" s="7" t="str">
        <x:v>Not Tested</x:v>
      </x:c>
      <x:c r="L13" s="7" t="str"/>
      <x:c r="M13" s="7" t="str"/>
      <x:c r="N13" s="7" t="str"/>
      <x:c r="O13" s="7" t="str"/>
      <x:c r="P13" s="7" t="str"/>
      <x:c r="Q13" s="7" t="str"/>
      <x:c r="R13" s="7" t="str"/>
      <x:c r="S13" s="7" t="str"/>
      <x:c r="T13" s="7" t="str">
        <x:v>R01,R03</x:v>
      </x:c>
      <x:c r="U13" s="7"/>
      <x:c r="V13" s="48"/>
    </x:row>
    <x:row r="14">
      <x:c r="A14" s="7" t="str">
        <x:v>UX-034</x:v>
      </x:c>
      <x:c r="B14" s="7" t="str">
        <x:v>Authentication</x:v>
      </x:c>
      <x:c r="C14" s="7" t="str">
        <x:v>Email Verification</x:v>
      </x:c>
      <x:c r="D14" s="7" t="str">
        <x:v>Understand verification and recover if email is delayed</x:v>
      </x:c>
      <x:c r="E14" s="7" t="str">
        <x:v>Verification state should explain next action and support resend/change email.</x:v>
      </x:c>
      <x:c r="F14" s="7" t="str">
        <x:v>Verification page exists; localhost exposes dev verification helper.</x:v>
      </x:c>
      <x:c r="G14" s="7" t="str">
        <x:v>Partial</x:v>
      </x:c>
      <x:c r="H14" s="7" t="str">
        <x:v>Add production resend email, change-email and expired-token recovery; hide dev helper.</x:v>
      </x:c>
      <x:c r="I14" s="7" t="str">
        <x:v>P0</x:v>
      </x:c>
      <x:c r="J14" s="7" t="str">
        <x:v>Complete without facilitator; SEQ ≥5/7</x:v>
      </x:c>
      <x:c r="K14" s="7" t="str">
        <x:v>Not Tested</x:v>
      </x:c>
      <x:c r="L14" s="7" t="str"/>
      <x:c r="M14" s="7" t="str"/>
      <x:c r="N14" s="7" t="str"/>
      <x:c r="O14" s="7" t="str"/>
      <x:c r="P14" s="7" t="str"/>
      <x:c r="Q14" s="7" t="str"/>
      <x:c r="R14" s="7" t="str"/>
      <x:c r="S14" s="7" t="str"/>
      <x:c r="T14" s="7" t="str">
        <x:v>R01,R03</x:v>
      </x:c>
      <x:c r="U14" s="7"/>
      <x:c r="V14" s="48"/>
    </x:row>
    <x:row r="15">
      <x:c r="A15" s="7" t="str">
        <x:v>UX-035</x:v>
      </x:c>
      <x:c r="B15" s="7" t="str">
        <x:v>Authentication</x:v>
      </x:c>
      <x:c r="C15" s="7" t="str">
        <x:v>Session</x:v>
      </x:c>
      <x:c r="D15" s="7" t="str">
        <x:v>Refresh dashboard without losing location</x:v>
      </x:c>
      <x:c r="E15" s="7" t="str">
        <x:v>Authenticated users should remain signed in and return to meaningful context.</x:v>
      </x:c>
      <x:c r="F15" s="7" t="str">
        <x:v>Session persistence was implemented in earlier QA release.</x:v>
      </x:c>
      <x:c r="G15" s="7" t="str">
        <x:v>Meets</x:v>
      </x:c>
      <x:c r="H15" s="7" t="str">
        <x:v>Test direct deep links to dashboard/editor after refresh.</x:v>
      </x:c>
      <x:c r="I15" s="7" t="str">
        <x:v>P1</x:v>
      </x:c>
      <x:c r="J15" s="7" t="str">
        <x:v>Complete without facilitator; SEQ ≥5/7</x:v>
      </x:c>
      <x:c r="K15" s="7" t="str">
        <x:v>Not Tested</x:v>
      </x:c>
      <x:c r="L15" s="7" t="str"/>
      <x:c r="M15" s="7" t="str"/>
      <x:c r="N15" s="7" t="str"/>
      <x:c r="O15" s="7" t="str"/>
      <x:c r="P15" s="7" t="str"/>
      <x:c r="Q15" s="7" t="str"/>
      <x:c r="R15" s="7" t="str"/>
      <x:c r="S15" s="7" t="str"/>
      <x:c r="T15" s="7" t="str">
        <x:v>R01</x:v>
      </x:c>
      <x:c r="U15" s="7"/>
      <x:c r="V15" s="48"/>
    </x:row>
    <x:row r="16">
      <x:c r="A16" s="7" t="str">
        <x:v>UX-036</x:v>
      </x:c>
      <x:c r="B16" s="7" t="str">
        <x:v>Onboarding</x:v>
      </x:c>
      <x:c r="C16" s="7" t="str">
        <x:v>First Login</x:v>
      </x:c>
      <x:c r="D16" s="7" t="str">
        <x:v>Know what to do after first login</x:v>
      </x:c>
      <x:c r="E16" s="7" t="str">
        <x:v>First-time Customer should see a clear next-best action and project/site status.</x:v>
      </x:c>
      <x:c r="F16" s="7" t="str">
        <x:v>No dedicated first-run onboarding/checklist is evident.</x:v>
      </x:c>
      <x:c r="G16" s="7" t="str">
        <x:v>Gap</x:v>
      </x:c>
      <x:c r="H16" s="7" t="str">
        <x:v>Add onboarding checklist: choose/purchased template → content → guest list → preview → publish.</x:v>
      </x:c>
      <x:c r="I16" s="7" t="str">
        <x:v>P1</x:v>
      </x:c>
      <x:c r="J16" s="7" t="str">
        <x:v>Complete without facilitator; SEQ ≥5/7</x:v>
      </x:c>
      <x:c r="K16" s="7" t="str">
        <x:v>Not Tested</x:v>
      </x:c>
      <x:c r="L16" s="7" t="str"/>
      <x:c r="M16" s="7" t="str"/>
      <x:c r="N16" s="7" t="str"/>
      <x:c r="O16" s="7" t="str"/>
      <x:c r="P16" s="7" t="str"/>
      <x:c r="Q16" s="7" t="str"/>
      <x:c r="R16" s="7" t="str"/>
      <x:c r="S16" s="7" t="str"/>
      <x:c r="T16" s="7" t="str">
        <x:v>R01</x:v>
      </x:c>
      <x:c r="U16" s="7"/>
      <x:c r="V16" s="48"/>
    </x:row>
    <x:row r="17">
      <x:c r="A17" s="7" t="str">
        <x:v>UX-037</x:v>
      </x:c>
      <x:c r="B17" s="7" t="str">
        <x:v>Dashboard</x:v>
      </x:c>
      <x:c r="C17" s="7" t="str">
        <x:v>Overview</x:v>
      </x:c>
      <x:c r="D17" s="7" t="str">
        <x:v>Understand wedding site health and next action</x:v>
      </x:c>
      <x:c r="E17" s="7" t="str">
        <x:v>Dashboard should prioritize site/project state, upcoming work and actionable alerts.</x:v>
      </x:c>
      <x:c r="F17" s="7" t="str">
        <x:v>Dashboard focuses on active Canvas and RSVP metrics.</x:v>
      </x:c>
      <x:c r="G17" s="7" t="str">
        <x:v>Partial</x:v>
      </x:c>
      <x:c r="H17" s="7" t="str">
        <x:v>Add overall Website/Project status above per-Canvas metrics.</x:v>
      </x:c>
      <x:c r="I17" s="7" t="str">
        <x:v>P1</x:v>
      </x:c>
      <x:c r="J17" s="7" t="str">
        <x:v>Complete without facilitator; SEQ ≥5/7</x:v>
      </x:c>
      <x:c r="K17" s="7" t="str">
        <x:v>Not Tested</x:v>
      </x:c>
      <x:c r="L17" s="7" t="str"/>
      <x:c r="M17" s="7" t="str"/>
      <x:c r="N17" s="7" t="str"/>
      <x:c r="O17" s="7" t="str"/>
      <x:c r="P17" s="7" t="str"/>
      <x:c r="Q17" s="7" t="str"/>
      <x:c r="R17" s="7" t="str"/>
      <x:c r="S17" s="7" t="str"/>
      <x:c r="T17" s="7" t="str">
        <x:v>R01</x:v>
      </x:c>
      <x:c r="U17" s="7"/>
      <x:c r="V17" s="48"/>
    </x:row>
    <x:row r="18">
      <x:c r="A18" s="7" t="str">
        <x:v>UX-038</x:v>
      </x:c>
      <x:c r="B18" s="7" t="str">
        <x:v>Dashboard</x:v>
      </x:c>
      <x:c r="C18" s="7" t="str">
        <x:v>Completeness</x:v>
      </x:c>
      <x:c r="D18" s="7" t="str">
        <x:v>Trust the displayed completeness percentage</x:v>
      </x:c>
      <x:c r="E18" s="7" t="str">
        <x:v>Progress indicators must be based on meaningful completion criteria, not decorative formulas.</x:v>
      </x:c>
      <x:c r="F18" s="7" t="str">
        <x:v>Canvas completeness is calculated as 35 + feature count × 8, capped at 100.</x:v>
      </x:c>
      <x:c r="G18" s="7" t="str">
        <x:v>Gap</x:v>
      </x:c>
      <x:c r="H18" s="7" t="str">
        <x:v>Replace with explicit checklist-based completeness (title, cover, event, location, RSVP, guest list, publish).</x:v>
      </x:c>
      <x:c r="I18" s="7" t="str">
        <x:v>P0</x:v>
      </x:c>
      <x:c r="J18" s="7" t="str">
        <x:v>Complete without facilitator; SEQ ≥5/7</x:v>
      </x:c>
      <x:c r="K18" s="7" t="str">
        <x:v>Not Tested</x:v>
      </x:c>
      <x:c r="L18" s="7" t="str"/>
      <x:c r="M18" s="7" t="str"/>
      <x:c r="N18" s="7" t="str"/>
      <x:c r="O18" s="7" t="str"/>
      <x:c r="P18" s="7" t="str"/>
      <x:c r="Q18" s="7" t="str"/>
      <x:c r="R18" s="7" t="str"/>
      <x:c r="S18" s="7" t="str"/>
      <x:c r="T18" s="7" t="str">
        <x:v>R01</x:v>
      </x:c>
      <x:c r="U18" s="7"/>
      <x:c r="V18" s="48"/>
    </x:row>
    <x:row r="19">
      <x:c r="A19" s="7" t="str">
        <x:v>UX-039</x:v>
      </x:c>
      <x:c r="B19" s="7" t="str">
        <x:v>Commerce</x:v>
      </x:c>
      <x:c r="C19" s="7" t="str">
        <x:v>Order History</x:v>
      </x:c>
      <x:c r="D19" s="7" t="str">
        <x:v>Track own purchased template and project status</x:v>
      </x:c>
      <x:c r="E19" s="7" t="str">
        <x:v>After checkout, Customer should be able to see order, payment, assigned CS/Designer, receipt and current project state.</x:v>
      </x:c>
      <x:c r="F19" s="7" t="str">
        <x:v>role_user has orders.create but no orders.view; no Customer order/project page is rendered.</x:v>
      </x:c>
      <x:c r="G19" s="7" t="str">
        <x:v>Gap</x:v>
      </x:c>
      <x:c r="H19" s="7" t="str">
        <x:v>Add My Orders / Project Timeline with payment, assignment, task milestones, receipt and support thread.</x:v>
      </x:c>
      <x:c r="I19" s="7" t="str">
        <x:v>P0</x:v>
      </x:c>
      <x:c r="J19" s="7" t="str">
        <x:v>Complete without facilitator; SEQ ≥5/7</x:v>
      </x:c>
      <x:c r="K19" s="7" t="str">
        <x:v>Not Tested</x:v>
      </x:c>
      <x:c r="L19" s="7" t="str"/>
      <x:c r="M19" s="7" t="str"/>
      <x:c r="N19" s="7" t="str"/>
      <x:c r="O19" s="7" t="str"/>
      <x:c r="P19" s="7" t="str"/>
      <x:c r="Q19" s="7" t="str"/>
      <x:c r="R19" s="7" t="str"/>
      <x:c r="S19" s="7" t="str"/>
      <x:c r="T19" s="7" t="str">
        <x:v>R01,R02</x:v>
      </x:c>
      <x:c r="U19" s="7"/>
      <x:c r="V19" s="48"/>
    </x:row>
    <x:row r="20">
      <x:c r="A20" s="7" t="str">
        <x:v>UX-040</x:v>
      </x:c>
      <x:c r="B20" s="7" t="str">
        <x:v>Templates</x:v>
      </x:c>
      <x:c r="C20" s="7" t="str">
        <x:v>Website Designs</x:v>
      </x:c>
      <x:c r="D20" s="7" t="str">
        <x:v>See one saved design instead of internal Canvas structures</x:v>
      </x:c>
      <x:c r="E20" s="7" t="str">
        <x:v>Customer-facing catalog should group internal Canvas/sections into one website design instance.</x:v>
      </x:c>
      <x:c r="F20" s="7" t="str">
        <x:v>v0.13 groups applied template design into one card.</x:v>
      </x:c>
      <x:c r="G20" s="7" t="str">
        <x:v>Meets</x:v>
      </x:c>
      <x:c r="H20" s="7" t="str">
        <x:v>Usability-test card labels so 'Canvas' remains internal only where needed.</x:v>
      </x:c>
      <x:c r="I20" s="7" t="str">
        <x:v>P1</x:v>
      </x:c>
      <x:c r="J20" s="7" t="str">
        <x:v>Complete without facilitator; SEQ ≥5/7</x:v>
      </x:c>
      <x:c r="K20" s="7" t="str">
        <x:v>Not Tested</x:v>
      </x:c>
      <x:c r="L20" s="7" t="str"/>
      <x:c r="M20" s="7" t="str"/>
      <x:c r="N20" s="7" t="str"/>
      <x:c r="O20" s="7" t="str"/>
      <x:c r="P20" s="7" t="str"/>
      <x:c r="Q20" s="7" t="str"/>
      <x:c r="R20" s="7" t="str"/>
      <x:c r="S20" s="7" t="str"/>
      <x:c r="T20" s="7" t="str">
        <x:v>R01</x:v>
      </x:c>
      <x:c r="U20" s="7"/>
      <x:c r="V20" s="48"/>
    </x:row>
    <x:row r="21">
      <x:c r="A21" s="7" t="str">
        <x:v>UX-041</x:v>
      </x:c>
      <x:c r="B21" s="7" t="str">
        <x:v>Templates</x:v>
      </x:c>
      <x:c r="C21" s="7" t="str">
        <x:v>Use Template</x:v>
      </x:c>
      <x:c r="D21" s="7" t="str">
        <x:v>Apply a template without destroying current work</x:v>
      </x:c>
      <x:c r="E21" s="7" t="str">
        <x:v>Use Template should create a new design safely, explain effects, and avoid duplicate opening features.</x:v>
      </x:c>
      <x:c r="F21" s="7" t="str">
        <x:v>Flow creates new Canvas structures and has duplicate-opening guard.</x:v>
      </x:c>
      <x:c r="G21" s="7" t="str">
        <x:v>Partial</x:v>
      </x:c>
      <x:c r="H21" s="7" t="str">
        <x:v>Add pre-action summary and undo/revert after applying template.</x:v>
      </x:c>
      <x:c r="I21" s="7" t="str">
        <x:v>P0</x:v>
      </x:c>
      <x:c r="J21" s="7" t="str">
        <x:v>Complete without facilitator; SEQ ≥5/7</x:v>
      </x:c>
      <x:c r="K21" s="7" t="str">
        <x:v>Not Tested</x:v>
      </x:c>
      <x:c r="L21" s="7" t="str"/>
      <x:c r="M21" s="7" t="str"/>
      <x:c r="N21" s="7" t="str"/>
      <x:c r="O21" s="7" t="str"/>
      <x:c r="P21" s="7" t="str"/>
      <x:c r="Q21" s="7" t="str"/>
      <x:c r="R21" s="7" t="str"/>
      <x:c r="S21" s="7" t="str"/>
      <x:c r="T21" s="7" t="str">
        <x:v>R01</x:v>
      </x:c>
      <x:c r="U21" s="7"/>
      <x:c r="V21" s="48"/>
    </x:row>
    <x:row r="22">
      <x:c r="A22" s="7" t="str">
        <x:v>UX-042</x:v>
      </x:c>
      <x:c r="B22" s="7" t="str">
        <x:v>Templates</x:v>
      </x:c>
      <x:c r="C22" s="7" t="str">
        <x:v>Zero State</x:v>
      </x:c>
      <x:c r="D22" s="7" t="str">
        <x:v>Start when website has zero Canvas</x:v>
      </x:c>
      <x:c r="E22" s="7" t="str">
        <x:v>Empty state should explain the next step and offer a primary action.</x:v>
      </x:c>
      <x:c r="F22" s="7" t="str">
        <x:v>Zero-Canvas empty state and create action exist.</x:v>
      </x:c>
      <x:c r="G22" s="7" t="str">
        <x:v>Meets</x:v>
      </x:c>
      <x:c r="H22" s="7" t="str">
        <x:v>Use Customer language such as 'Start your website' rather than implementation terms.</x:v>
      </x:c>
      <x:c r="I22" s="7" t="str">
        <x:v>P1</x:v>
      </x:c>
      <x:c r="J22" s="7" t="str">
        <x:v>Complete without facilitator; SEQ ≥5/7</x:v>
      </x:c>
      <x:c r="K22" s="7" t="str">
        <x:v>Not Tested</x:v>
      </x:c>
      <x:c r="L22" s="7" t="str"/>
      <x:c r="M22" s="7" t="str"/>
      <x:c r="N22" s="7" t="str"/>
      <x:c r="O22" s="7" t="str"/>
      <x:c r="P22" s="7" t="str"/>
      <x:c r="Q22" s="7" t="str"/>
      <x:c r="R22" s="7" t="str"/>
      <x:c r="S22" s="7" t="str"/>
      <x:c r="T22" s="7" t="str">
        <x:v>R01</x:v>
      </x:c>
      <x:c r="U22" s="7"/>
      <x:c r="V22" s="48"/>
    </x:row>
    <x:row r="23">
      <x:c r="A23" s="7" t="str">
        <x:v>UX-043</x:v>
      </x:c>
      <x:c r="B23" s="7" t="str">
        <x:v>Editor</x:v>
      </x:c>
      <x:c r="C23" s="7" t="str">
        <x:v>Website Title</x:v>
      </x:c>
      <x:c r="D23" s="7" t="str">
        <x:v>Edit site identity</x:v>
      </x:c>
      <x:c r="E23" s="7" t="str">
        <x:v>Website title should be easy to find and clearly separated from internal Canvas names.</x:v>
      </x:c>
      <x:c r="F23" s="7" t="str">
        <x:v>Website title exists in editor inspector and design cards.</x:v>
      </x:c>
      <x:c r="G23" s="7" t="str">
        <x:v>Meets</x:v>
      </x:c>
      <x:c r="H23" s="7" t="str">
        <x:v>Add inline save state and validation for empty title.</x:v>
      </x:c>
      <x:c r="I23" s="7" t="str">
        <x:v>P1</x:v>
      </x:c>
      <x:c r="J23" s="7" t="str">
        <x:v>Complete without facilitator; SEQ ≥5/7</x:v>
      </x:c>
      <x:c r="K23" s="7" t="str">
        <x:v>Not Tested</x:v>
      </x:c>
      <x:c r="L23" s="7" t="str"/>
      <x:c r="M23" s="7" t="str"/>
      <x:c r="N23" s="7" t="str"/>
      <x:c r="O23" s="7" t="str"/>
      <x:c r="P23" s="7" t="str"/>
      <x:c r="Q23" s="7" t="str"/>
      <x:c r="R23" s="7" t="str"/>
      <x:c r="S23" s="7" t="str"/>
      <x:c r="T23" s="7" t="str">
        <x:v>R01</x:v>
      </x:c>
      <x:c r="U23" s="7"/>
      <x:c r="V23" s="48"/>
    </x:row>
    <x:row r="24">
      <x:c r="A24" s="7" t="str">
        <x:v>UX-044</x:v>
      </x:c>
      <x:c r="B24" s="7" t="str">
        <x:v>Editor</x:v>
      </x:c>
      <x:c r="C24" s="7" t="str">
        <x:v>Public URL</x:v>
      </x:c>
      <x:c r="D24" s="7" t="str">
        <x:v>Choose and publish URL</x:v>
      </x:c>
      <x:c r="E24" s="7" t="str">
        <x:v>Slug field should show availability, constraints and published state.</x:v>
      </x:c>
      <x:c r="F24" s="7" t="str">
        <x:v>Slug is editable; Settings claims URL ready after publish.</x:v>
      </x:c>
      <x:c r="G24" s="7" t="str">
        <x:v>Partial</x:v>
      </x:c>
      <x:c r="H24" s="7" t="str">
        <x:v>Perform real availability check before save and show conflicts inline.</x:v>
      </x:c>
      <x:c r="I24" s="7" t="str">
        <x:v>P0</x:v>
      </x:c>
      <x:c r="J24" s="7" t="str">
        <x:v>Complete without facilitator; SEQ ≥5/7</x:v>
      </x:c>
      <x:c r="K24" s="7" t="str">
        <x:v>Not Tested</x:v>
      </x:c>
      <x:c r="L24" s="7" t="str"/>
      <x:c r="M24" s="7" t="str"/>
      <x:c r="N24" s="7" t="str"/>
      <x:c r="O24" s="7" t="str"/>
      <x:c r="P24" s="7" t="str"/>
      <x:c r="Q24" s="7" t="str"/>
      <x:c r="R24" s="7" t="str"/>
      <x:c r="S24" s="7" t="str"/>
      <x:c r="T24" s="7" t="str">
        <x:v>R01</x:v>
      </x:c>
      <x:c r="U24" s="7"/>
      <x:c r="V24" s="48"/>
    </x:row>
    <x:row r="25">
      <x:c r="A25" s="7" t="str">
        <x:v>UX-045</x:v>
      </x:c>
      <x:c r="B25" s="7" t="str">
        <x:v>Editor</x:v>
      </x:c>
      <x:c r="C25" s="7" t="str">
        <x:v>Preview</x:v>
      </x:c>
      <x:c r="D25" s="7" t="str">
        <x:v>Compare editor and public result</x:v>
      </x:c>
      <x:c r="E25" s="7" t="str">
        <x:v>Preview should be WYSIWYG across desktop/mobile and not mutate saved state.</x:v>
      </x:c>
      <x:c r="F25" s="7" t="str">
        <x:v>Editor supports desktop/mobile switch and preview modal.</x:v>
      </x:c>
      <x:c r="G25" s="7" t="str">
        <x:v>Needs User Test</x:v>
      </x:c>
      <x:c r="H25" s="7" t="str">
        <x:v>Run pixel/spacing parity test across representative templates and breakpoints.</x:v>
      </x:c>
      <x:c r="I25" s="7" t="str">
        <x:v>P0</x:v>
      </x:c>
      <x:c r="J25" s="7" t="str">
        <x:v>Complete without facilitator; SEQ ≥5/7</x:v>
      </x:c>
      <x:c r="K25" s="7" t="str">
        <x:v>Not Tested</x:v>
      </x:c>
      <x:c r="L25" s="7" t="str"/>
      <x:c r="M25" s="7" t="str"/>
      <x:c r="N25" s="7" t="str"/>
      <x:c r="O25" s="7" t="str"/>
      <x:c r="P25" s="7" t="str"/>
      <x:c r="Q25" s="7" t="str"/>
      <x:c r="R25" s="7" t="str"/>
      <x:c r="S25" s="7" t="str"/>
      <x:c r="T25" s="7" t="str">
        <x:v>R01</x:v>
      </x:c>
      <x:c r="U25" s="7"/>
      <x:c r="V25" s="48"/>
    </x:row>
    <x:row r="26">
      <x:c r="A26" s="7" t="str">
        <x:v>UX-046</x:v>
      </x:c>
      <x:c r="B26" s="7" t="str">
        <x:v>Editor</x:v>
      </x:c>
      <x:c r="C26" s="7" t="str">
        <x:v>Save</x:v>
      </x:c>
      <x:c r="D26" s="7" t="str">
        <x:v>Know whether changes are saved/published</x:v>
      </x:c>
      <x:c r="E26" s="7" t="str">
        <x:v>Save state should distinguish draft, saved, publishing and published states.</x:v>
      </x:c>
      <x:c r="F26" s="7" t="str">
        <x:v>Site mode uses Save &amp; Publish; button shows Saved after operation.</x:v>
      </x:c>
      <x:c r="G26" s="7" t="str">
        <x:v>Partial</x:v>
      </x:c>
      <x:c r="H26" s="7" t="str">
        <x:v>Separate Save Draft from Publish for Customer if iterative editing is expected.</x:v>
      </x:c>
      <x:c r="I26" s="7" t="str">
        <x:v>P1</x:v>
      </x:c>
      <x:c r="J26" s="7" t="str">
        <x:v>Complete without facilitator; SEQ ≥5/7</x:v>
      </x:c>
      <x:c r="K26" s="7" t="str">
        <x:v>Not Tested</x:v>
      </x:c>
      <x:c r="L26" s="7" t="str"/>
      <x:c r="M26" s="7" t="str"/>
      <x:c r="N26" s="7" t="str"/>
      <x:c r="O26" s="7" t="str"/>
      <x:c r="P26" s="7" t="str"/>
      <x:c r="Q26" s="7" t="str"/>
      <x:c r="R26" s="7" t="str"/>
      <x:c r="S26" s="7" t="str"/>
      <x:c r="T26" s="7" t="str">
        <x:v>R01</x:v>
      </x:c>
      <x:c r="U26" s="7"/>
      <x:c r="V26" s="48"/>
    </x:row>
    <x:row r="27">
      <x:c r="A27" s="7" t="str">
        <x:v>UX-047</x:v>
      </x:c>
      <x:c r="B27" s="7" t="str">
        <x:v>Editor</x:v>
      </x:c>
      <x:c r="C27" s="7" t="str">
        <x:v>Autosave &amp; Recovery</x:v>
      </x:c>
      <x:c r="D27" s="7" t="str">
        <x:v>Avoid losing work during long editing sessions</x:v>
      </x:c>
      <x:c r="E27" s="7" t="str">
        <x:v>Professional authoring should autosave and allow restoring prior revisions after errors.</x:v>
      </x:c>
      <x:c r="F27" s="7" t="str">
        <x:v>Current editor relies on manual save plus Leave Save/Discard prompt; no revision history.</x:v>
      </x:c>
      <x:c r="G27" s="7" t="str">
        <x:v>Gap</x:v>
      </x:c>
      <x:c r="H27" s="7" t="str">
        <x:v>Add autosave snapshots, undo/redo and revision history for site/template content.</x:v>
      </x:c>
      <x:c r="I27" s="7" t="str">
        <x:v>P0</x:v>
      </x:c>
      <x:c r="J27" s="7" t="str">
        <x:v>Complete without facilitator; SEQ ≥5/7</x:v>
      </x:c>
      <x:c r="K27" s="7" t="str">
        <x:v>Not Tested</x:v>
      </x:c>
      <x:c r="L27" s="7" t="str"/>
      <x:c r="M27" s="7" t="str"/>
      <x:c r="N27" s="7" t="str"/>
      <x:c r="O27" s="7" t="str"/>
      <x:c r="P27" s="7" t="str"/>
      <x:c r="Q27" s="7" t="str"/>
      <x:c r="R27" s="7" t="str"/>
      <x:c r="S27" s="7" t="str"/>
      <x:c r="T27" s="7" t="str">
        <x:v>R13,R14,R01</x:v>
      </x:c>
      <x:c r="U27" s="7"/>
      <x:c r="V27" s="48"/>
    </x:row>
    <x:row r="28">
      <x:c r="A28" s="7" t="str">
        <x:v>UX-048</x:v>
      </x:c>
      <x:c r="B28" s="7" t="str">
        <x:v>Editor</x:v>
      </x:c>
      <x:c r="C28" s="7" t="str">
        <x:v>Unsaved Changes</x:v>
      </x:c>
      <x:c r="D28" s="7" t="str">
        <x:v>Leave editor intentionally</x:v>
      </x:c>
      <x:c r="E28" s="7" t="str">
        <x:v>Leaving with unsaved changes should offer Save, Discard and Cancel, with true discard behavior.</x:v>
      </x:c>
      <x:c r="F28" s="7" t="str">
        <x:v>Leave modal exists from previous QA hardening.</x:v>
      </x:c>
      <x:c r="G28" s="7" t="str">
        <x:v>Meets</x:v>
      </x:c>
      <x:c r="H28" s="7" t="str">
        <x:v>Retest true state restoration after Discard on server-backed content.</x:v>
      </x:c>
      <x:c r="I28" s="7" t="str">
        <x:v>P1</x:v>
      </x:c>
      <x:c r="J28" s="7" t="str">
        <x:v>Complete without facilitator; SEQ ≥5/7</x:v>
      </x:c>
      <x:c r="K28" s="7" t="str">
        <x:v>Not Tested</x:v>
      </x:c>
      <x:c r="L28" s="7" t="str"/>
      <x:c r="M28" s="7" t="str"/>
      <x:c r="N28" s="7" t="str"/>
      <x:c r="O28" s="7" t="str"/>
      <x:c r="P28" s="7" t="str"/>
      <x:c r="Q28" s="7" t="str"/>
      <x:c r="R28" s="7" t="str"/>
      <x:c r="S28" s="7" t="str"/>
      <x:c r="T28" s="7" t="str">
        <x:v>R01</x:v>
      </x:c>
      <x:c r="U28" s="7"/>
      <x:c r="V28" s="48"/>
    </x:row>
    <x:row r="29">
      <x:c r="A29" s="7" t="str">
        <x:v>UX-049</x:v>
      </x:c>
      <x:c r="B29" s="7" t="str">
        <x:v>Editor</x:v>
      </x:c>
      <x:c r="C29" s="7" t="str">
        <x:v>Columns</x:v>
      </x:c>
      <x:c r="D29" s="7" t="str">
        <x:v>Configure 1–4 columns</x:v>
      </x:c>
      <x:c r="E29" s="7" t="str">
        <x:v>Column count should be understandable and not lose feature content unexpectedly.</x:v>
      </x:c>
      <x:c r="F29" s="7" t="str">
        <x:v>1–4 column control exists; removed-column features are moved.</x:v>
      </x:c>
      <x:c r="G29" s="7" t="str">
        <x:v>Partial</x:v>
      </x:c>
      <x:c r="H29" s="7" t="str">
        <x:v>Show explicit warning/preview when reducing columns and where features will move.</x:v>
      </x:c>
      <x:c r="I29" s="7" t="str">
        <x:v>P1</x:v>
      </x:c>
      <x:c r="J29" s="7" t="str">
        <x:v>Complete without facilitator; SEQ ≥5/7</x:v>
      </x:c>
      <x:c r="K29" s="7" t="str">
        <x:v>Not Tested</x:v>
      </x:c>
      <x:c r="L29" s="7" t="str"/>
      <x:c r="M29" s="7" t="str"/>
      <x:c r="N29" s="7" t="str"/>
      <x:c r="O29" s="7" t="str"/>
      <x:c r="P29" s="7" t="str"/>
      <x:c r="Q29" s="7" t="str"/>
      <x:c r="R29" s="7" t="str"/>
      <x:c r="S29" s="7" t="str"/>
      <x:c r="T29" s="7" t="str">
        <x:v>R01</x:v>
      </x:c>
      <x:c r="U29" s="7"/>
      <x:c r="V29" s="48"/>
    </x:row>
    <x:row r="30">
      <x:c r="A30" s="7" t="str">
        <x:v>UX-050</x:v>
      </x:c>
      <x:c r="B30" s="7" t="str">
        <x:v>Editor</x:v>
      </x:c>
      <x:c r="C30" s="7" t="str">
        <x:v>Fixed Layouts</x:v>
      </x:c>
      <x:c r="D30" s="7" t="str">
        <x:v>Use Fixed Left/Right</x:v>
      </x:c>
      <x:c r="E30" s="7" t="str">
        <x:v>Layout label and preview should explain which side stays fixed and behave consistently on mobile.</x:v>
      </x:c>
      <x:c r="F30" s="7" t="str">
        <x:v>Fixed Left and Fixed Right are available.</x:v>
      </x:c>
      <x:c r="G30" s="7" t="str">
        <x:v>Needs User Test</x:v>
      </x:c>
      <x:c r="H30" s="7" t="str">
        <x:v>Test sticky behavior, content overflow and mobile fallback.</x:v>
      </x:c>
      <x:c r="I30" s="7" t="str">
        <x:v>P1</x:v>
      </x:c>
      <x:c r="J30" s="7" t="str">
        <x:v>Complete without facilitator; SEQ ≥5/7</x:v>
      </x:c>
      <x:c r="K30" s="7" t="str">
        <x:v>Not Tested</x:v>
      </x:c>
      <x:c r="L30" s="7" t="str"/>
      <x:c r="M30" s="7" t="str"/>
      <x:c r="N30" s="7" t="str"/>
      <x:c r="O30" s="7" t="str"/>
      <x:c r="P30" s="7" t="str"/>
      <x:c r="Q30" s="7" t="str"/>
      <x:c r="R30" s="7" t="str"/>
      <x:c r="S30" s="7" t="str"/>
      <x:c r="T30" s="7" t="str">
        <x:v>R01</x:v>
      </x:c>
      <x:c r="U30" s="7"/>
      <x:c r="V30" s="48"/>
    </x:row>
    <x:row r="31">
      <x:c r="A31" s="7" t="str">
        <x:v>UX-051</x:v>
      </x:c>
      <x:c r="B31" s="7" t="str">
        <x:v>Editor</x:v>
      </x:c>
      <x:c r="C31" s="7" t="str">
        <x:v>Background</x:v>
      </x:c>
      <x:c r="D31" s="7" t="str">
        <x:v>Use solid/gradient/image/effects</x:v>
      </x:c>
      <x:c r="E31" s="7" t="str">
        <x:v>Background controls should be grouped logically and offer reset/none states.</x:v>
      </x:c>
      <x:c r="F31" s="7" t="str">
        <x:v>Solid, gradient, image, repeat and motion options exist.</x:v>
      </x:c>
      <x:c r="G31" s="7" t="str">
        <x:v>Partial</x:v>
      </x:c>
      <x:c r="H31" s="7" t="str">
        <x:v>Add clear Reset Background and reduced-motion preview.</x:v>
      </x:c>
      <x:c r="I31" s="7" t="str">
        <x:v>P1</x:v>
      </x:c>
      <x:c r="J31" s="7" t="str">
        <x:v>Complete without facilitator; SEQ ≥5/7</x:v>
      </x:c>
      <x:c r="K31" s="7" t="str">
        <x:v>Not Tested</x:v>
      </x:c>
      <x:c r="L31" s="7" t="str"/>
      <x:c r="M31" s="7" t="str"/>
      <x:c r="N31" s="7" t="str"/>
      <x:c r="O31" s="7" t="str"/>
      <x:c r="P31" s="7" t="str"/>
      <x:c r="Q31" s="7" t="str"/>
      <x:c r="R31" s="7" t="str"/>
      <x:c r="S31" s="7" t="str"/>
      <x:c r="T31" s="7" t="str">
        <x:v>R01,R03</x:v>
      </x:c>
      <x:c r="U31" s="7"/>
      <x:c r="V31" s="48"/>
    </x:row>
    <x:row r="32">
      <x:c r="A32" s="7" t="str">
        <x:v>UX-052</x:v>
      </x:c>
      <x:c r="B32" s="7" t="str">
        <x:v>Editor</x:v>
      </x:c>
      <x:c r="C32" s="7" t="str">
        <x:v>Buka Undangan</x:v>
      </x:c>
      <x:c r="D32" s="7" t="str">
        <x:v>Configure invitation opening</x:v>
      </x:c>
      <x:c r="E32" s="7" t="str">
        <x:v>Opening feature should be unique, restricted to first Canvas and editable without hidden defaults.</x:v>
      </x:c>
      <x:c r="F32" s="7" t="str">
        <x:v>Rules and editable content are implemented.</x:v>
      </x:c>
      <x:c r="G32" s="7" t="str">
        <x:v>Meets</x:v>
      </x:c>
      <x:c r="H32" s="7" t="str">
        <x:v>Test that invalid drag/move attempts explain why they are blocked.</x:v>
      </x:c>
      <x:c r="I32" s="7" t="str">
        <x:v>P1</x:v>
      </x:c>
      <x:c r="J32" s="7" t="str">
        <x:v>Complete without facilitator; SEQ ≥5/7</x:v>
      </x:c>
      <x:c r="K32" s="7" t="str">
        <x:v>Not Tested</x:v>
      </x:c>
      <x:c r="L32" s="7" t="str"/>
      <x:c r="M32" s="7" t="str"/>
      <x:c r="N32" s="7" t="str"/>
      <x:c r="O32" s="7" t="str"/>
      <x:c r="P32" s="7" t="str"/>
      <x:c r="Q32" s="7" t="str"/>
      <x:c r="R32" s="7" t="str"/>
      <x:c r="S32" s="7" t="str"/>
      <x:c r="T32" s="7" t="str">
        <x:v>R01</x:v>
      </x:c>
      <x:c r="U32" s="7"/>
      <x:c r="V32" s="48"/>
    </x:row>
    <x:row r="33">
      <x:c r="A33" s="7" t="str">
        <x:v>UX-053</x:v>
      </x:c>
      <x:c r="B33" s="7" t="str">
        <x:v>Editor</x:v>
      </x:c>
      <x:c r="C33" s="7" t="str">
        <x:v>Gallery</x:v>
      </x:c>
      <x:c r="D33" s="7" t="str">
        <x:v>Add/delete/reorder photos</x:v>
      </x:c>
      <x:c r="E33" s="7" t="str">
        <x:v>Gallery management should show selected files, order, delete action, upload progress and error state.</x:v>
      </x:c>
      <x:c r="F33" s="7" t="str">
        <x:v>Add/delete and carousel/full-width controls exist.</x:v>
      </x:c>
      <x:c r="G33" s="7" t="str">
        <x:v>Partial</x:v>
      </x:c>
      <x:c r="H33" s="7" t="str">
        <x:v>Add explicit reorder UX, upload progress and per-image alt text.</x:v>
      </x:c>
      <x:c r="I33" s="7" t="str">
        <x:v>P1</x:v>
      </x:c>
      <x:c r="J33" s="7" t="str">
        <x:v>Complete without facilitator; SEQ ≥5/7</x:v>
      </x:c>
      <x:c r="K33" s="7" t="str">
        <x:v>Not Tested</x:v>
      </x:c>
      <x:c r="L33" s="7" t="str"/>
      <x:c r="M33" s="7" t="str"/>
      <x:c r="N33" s="7" t="str"/>
      <x:c r="O33" s="7" t="str"/>
      <x:c r="P33" s="7" t="str"/>
      <x:c r="Q33" s="7" t="str"/>
      <x:c r="R33" s="7" t="str"/>
      <x:c r="S33" s="7" t="str"/>
      <x:c r="T33" s="7" t="str">
        <x:v>R01,R03</x:v>
      </x:c>
      <x:c r="U33" s="7"/>
      <x:c r="V33" s="48"/>
    </x:row>
    <x:row r="34">
      <x:c r="A34" s="7" t="str">
        <x:v>UX-054</x:v>
      </x:c>
      <x:c r="B34" s="7" t="str">
        <x:v>Editor</x:v>
      </x:c>
      <x:c r="C34" s="7" t="str">
        <x:v>Sound</x:v>
      </x:c>
      <x:c r="D34" s="7" t="str">
        <x:v>Choose/upload and preview sound</x:v>
      </x:c>
      <x:c r="E34" s="7" t="str">
        <x:v>Customer should be able to preview, replace and remove sound with understandable file limits.</x:v>
      </x:c>
      <x:c r="F34" s="7" t="str">
        <x:v>Sound feature supports upload/library and fixed public disc player.</x:v>
      </x:c>
      <x:c r="G34" s="7" t="str">
        <x:v>Partial</x:v>
      </x:c>
      <x:c r="H34" s="7" t="str">
        <x:v>Add waveform/duration/filename and upload progress; clarify browser autoplay limits.</x:v>
      </x:c>
      <x:c r="I34" s="7" t="str">
        <x:v>P1</x:v>
      </x:c>
      <x:c r="J34" s="7" t="str">
        <x:v>Complete without facilitator; SEQ ≥5/7</x:v>
      </x:c>
      <x:c r="K34" s="7" t="str">
        <x:v>Not Tested</x:v>
      </x:c>
      <x:c r="L34" s="7" t="str"/>
      <x:c r="M34" s="7" t="str"/>
      <x:c r="N34" s="7" t="str"/>
      <x:c r="O34" s="7" t="str"/>
      <x:c r="P34" s="7" t="str"/>
      <x:c r="Q34" s="7" t="str"/>
      <x:c r="R34" s="7" t="str"/>
      <x:c r="S34" s="7" t="str"/>
      <x:c r="T34" s="7" t="str">
        <x:v>R01</x:v>
      </x:c>
      <x:c r="U34" s="7"/>
      <x:c r="V34" s="48"/>
    </x:row>
    <x:row r="35">
      <x:c r="A35" s="7" t="str">
        <x:v>UX-055</x:v>
      </x:c>
      <x:c r="B35" s="7" t="str">
        <x:v>Site Pages</x:v>
      </x:c>
      <x:c r="C35" s="7" t="str">
        <x:v>List Undangan</x:v>
      </x:c>
      <x:c r="D35" s="7" t="str">
        <x:v>Add invitee manually</x:v>
      </x:c>
      <x:c r="E35" s="7" t="str">
        <x:v>Guest management should use wedding-language labels, clear required fields and visible save result.</x:v>
      </x:c>
      <x:c r="F35" s="7" t="str">
        <x:v>List Undangan exists in Site Pages.</x:v>
      </x:c>
      <x:c r="G35" s="7" t="str">
        <x:v>Meets</x:v>
      </x:c>
      <x:c r="H35" s="7" t="str">
        <x:v>Test duplicate guest handling and large-list performance.</x:v>
      </x:c>
      <x:c r="I35" s="7" t="str">
        <x:v>P1</x:v>
      </x:c>
      <x:c r="J35" s="7" t="str">
        <x:v>Complete without facilitator; SEQ ≥5/7</x:v>
      </x:c>
      <x:c r="K35" s="7" t="str">
        <x:v>Not Tested</x:v>
      </x:c>
      <x:c r="L35" s="7" t="str"/>
      <x:c r="M35" s="7" t="str"/>
      <x:c r="N35" s="7" t="str"/>
      <x:c r="O35" s="7" t="str"/>
      <x:c r="P35" s="7" t="str"/>
      <x:c r="Q35" s="7" t="str"/>
      <x:c r="R35" s="7" t="str"/>
      <x:c r="S35" s="7" t="str"/>
      <x:c r="T35" s="7" t="str">
        <x:v>R01</x:v>
      </x:c>
      <x:c r="U35" s="7"/>
      <x:c r="V35" s="48"/>
    </x:row>
    <x:row r="36">
      <x:c r="A36" s="7" t="str">
        <x:v>UX-056</x:v>
      </x:c>
      <x:c r="B36" s="7" t="str">
        <x:v>Site Pages</x:v>
      </x:c>
      <x:c r="C36" s="7" t="str">
        <x:v>CSV Import</x:v>
      </x:c>
      <x:c r="D36" s="7" t="str">
        <x:v>Import guest list safely</x:v>
      </x:c>
      <x:c r="E36" s="7" t="str">
        <x:v>CSV import should offer sample file, preview, row-level validation and duplicate handling before commit.</x:v>
      </x:c>
      <x:c r="F36" s="7" t="str">
        <x:v>CSV import exists with format validation.</x:v>
      </x:c>
      <x:c r="G36" s="7" t="str">
        <x:v>Partial</x:v>
      </x:c>
      <x:c r="H36" s="7" t="str">
        <x:v>Add import preview + error report before final insert.</x:v>
      </x:c>
      <x:c r="I36" s="7" t="str">
        <x:v>P1</x:v>
      </x:c>
      <x:c r="J36" s="7" t="str">
        <x:v>Complete without facilitator; SEQ ≥5/7</x:v>
      </x:c>
      <x:c r="K36" s="7" t="str">
        <x:v>Not Tested</x:v>
      </x:c>
      <x:c r="L36" s="7" t="str"/>
      <x:c r="M36" s="7" t="str"/>
      <x:c r="N36" s="7" t="str"/>
      <x:c r="O36" s="7" t="str"/>
      <x:c r="P36" s="7" t="str"/>
      <x:c r="Q36" s="7" t="str"/>
      <x:c r="R36" s="7" t="str"/>
      <x:c r="S36" s="7" t="str"/>
      <x:c r="T36" s="7" t="str">
        <x:v>R01</x:v>
      </x:c>
      <x:c r="U36" s="7"/>
      <x:c r="V36" s="48"/>
    </x:row>
    <x:row r="37">
      <x:c r="A37" s="7" t="str">
        <x:v>UX-057</x:v>
      </x:c>
      <x:c r="B37" s="7" t="str">
        <x:v>Dashboard</x:v>
      </x:c>
      <x:c r="C37" s="7" t="str">
        <x:v>RSVP Analytics</x:v>
      </x:c>
      <x:c r="D37" s="7" t="str">
        <x:v>Understand actual response data</x:v>
      </x:c>
      <x:c r="E37" s="7" t="str">
        <x:v>Metrics and charts should derive from real RSVP records and clearly state scope.</x:v>
      </x:c>
      <x:c r="F37" s="7" t="str">
        <x:v>v0.12+ chart groups actual Guest timestamps; active Canvas selector scopes data.</x:v>
      </x:c>
      <x:c r="G37" s="7" t="str">
        <x:v>Meets</x:v>
      </x:c>
      <x:c r="H37" s="7" t="str">
        <x:v>Add website-level aggregate alongside Canvas-level detail.</x:v>
      </x:c>
      <x:c r="I37" s="7" t="str">
        <x:v>P1</x:v>
      </x:c>
      <x:c r="J37" s="7" t="str">
        <x:v>Complete without facilitator; SEQ ≥5/7</x:v>
      </x:c>
      <x:c r="K37" s="7" t="str">
        <x:v>Not Tested</x:v>
      </x:c>
      <x:c r="L37" s="7" t="str"/>
      <x:c r="M37" s="7" t="str"/>
      <x:c r="N37" s="7" t="str"/>
      <x:c r="O37" s="7" t="str"/>
      <x:c r="P37" s="7" t="str"/>
      <x:c r="Q37" s="7" t="str"/>
      <x:c r="R37" s="7" t="str"/>
      <x:c r="S37" s="7" t="str"/>
      <x:c r="T37" s="7" t="str">
        <x:v>R01</x:v>
      </x:c>
      <x:c r="U37" s="7"/>
      <x:c r="V37" s="48"/>
    </x:row>
    <x:row r="38">
      <x:c r="A38" s="7" t="str">
        <x:v>UX-058</x:v>
      </x:c>
      <x:c r="B38" s="7" t="str">
        <x:v>Support</x:v>
      </x:c>
      <x:c r="C38" s="7" t="str">
        <x:v>Live Chat</x:v>
      </x:c>
      <x:c r="D38" s="7" t="str">
        <x:v>Contact support and see replies</x:v>
      </x:c>
      <x:c r="E38" s="7" t="str">
        <x:v>Chat should preserve history and identify support response state.</x:v>
      </x:c>
      <x:c r="F38" s="7" t="str">
        <x:v>User chat is database-backed and persists.</x:v>
      </x:c>
      <x:c r="G38" s="7" t="str">
        <x:v>Partial</x:v>
      </x:c>
      <x:c r="H38" s="7" t="str">
        <x:v>Add unread reply badge, timestamp grouping and failure/retry states.</x:v>
      </x:c>
      <x:c r="I38" s="7" t="str">
        <x:v>P1</x:v>
      </x:c>
      <x:c r="J38" s="7" t="str">
        <x:v>Complete without facilitator; SEQ ≥5/7</x:v>
      </x:c>
      <x:c r="K38" s="7" t="str">
        <x:v>Not Tested</x:v>
      </x:c>
      <x:c r="L38" s="7" t="str"/>
      <x:c r="M38" s="7" t="str"/>
      <x:c r="N38" s="7" t="str"/>
      <x:c r="O38" s="7" t="str"/>
      <x:c r="P38" s="7" t="str"/>
      <x:c r="Q38" s="7" t="str"/>
      <x:c r="R38" s="7" t="str"/>
      <x:c r="S38" s="7" t="str"/>
      <x:c r="T38" s="7" t="str">
        <x:v>R01,R03</x:v>
      </x:c>
      <x:c r="U38" s="7"/>
      <x:c r="V38" s="48"/>
    </x:row>
    <x:row r="39">
      <x:c r="A39" s="7" t="str">
        <x:v>UX-059</x:v>
      </x:c>
      <x:c r="B39" s="7" t="str">
        <x:v>Account</x:v>
      </x:c>
      <x:c r="C39" s="7" t="str">
        <x:v>Profile</x:v>
      </x:c>
      <x:c r="D39" s="7" t="str">
        <x:v>Change first name, last name, email and password</x:v>
      </x:c>
      <x:c r="E39" s="7" t="str">
        <x:v>Profile controls should validate changes and explain security consequences.</x:v>
      </x:c>
      <x:c r="F39" s="7" t="str">
        <x:v>Account Settings modal supports these fields.</x:v>
      </x:c>
      <x:c r="G39" s="7" t="str">
        <x:v>Partial</x:v>
      </x:c>
      <x:c r="H39" s="7" t="str">
        <x:v>Require current password/re-authentication for sensitive password/email changes in production.</x:v>
      </x:c>
      <x:c r="I39" s="7" t="str">
        <x:v>P0</x:v>
      </x:c>
      <x:c r="J39" s="7" t="str">
        <x:v>Complete without facilitator; SEQ ≥5/7</x:v>
      </x:c>
      <x:c r="K39" s="7" t="str">
        <x:v>Not Tested</x:v>
      </x:c>
      <x:c r="L39" s="7" t="str"/>
      <x:c r="M39" s="7" t="str"/>
      <x:c r="N39" s="7" t="str"/>
      <x:c r="O39" s="7" t="str"/>
      <x:c r="P39" s="7" t="str"/>
      <x:c r="Q39" s="7" t="str"/>
      <x:c r="R39" s="7" t="str"/>
      <x:c r="S39" s="7" t="str"/>
      <x:c r="T39" s="7" t="str">
        <x:v>R03</x:v>
      </x:c>
      <x:c r="U39" s="7"/>
      <x:c r="V39" s="48"/>
    </x:row>
    <x:row r="40">
      <x:c r="A40" s="7" t="str">
        <x:v>UX-060</x:v>
      </x:c>
      <x:c r="B40" s="7" t="str">
        <x:v>Settings</x:v>
      </x:c>
      <x:c r="C40" s="7" t="str">
        <x:v>Notification Sound</x:v>
      </x:c>
      <x:c r="D40" s="7" t="str">
        <x:v>Mute/unmute notifications</x:v>
      </x:c>
      <x:c r="E40" s="7" t="str">
        <x:v>Preference should persist and explain what is affected.</x:v>
      </x:c>
      <x:c r="F40" s="7" t="str">
        <x:v>Mute setting persists to account/browser.</x:v>
      </x:c>
      <x:c r="G40" s="7" t="str">
        <x:v>Meets</x:v>
      </x:c>
      <x:c r="H40" s="7" t="str">
        <x:v>Add test tone button.</x:v>
      </x:c>
      <x:c r="I40" s="7" t="str">
        <x:v>P1</x:v>
      </x:c>
      <x:c r="J40" s="7" t="str">
        <x:v>Complete without facilitator; SEQ ≥5/7</x:v>
      </x:c>
      <x:c r="K40" s="7" t="str">
        <x:v>Not Tested</x:v>
      </x:c>
      <x:c r="L40" s="7" t="str"/>
      <x:c r="M40" s="7" t="str"/>
      <x:c r="N40" s="7" t="str"/>
      <x:c r="O40" s="7" t="str"/>
      <x:c r="P40" s="7" t="str"/>
      <x:c r="Q40" s="7" t="str"/>
      <x:c r="R40" s="7" t="str"/>
      <x:c r="S40" s="7" t="str"/>
      <x:c r="T40" s="7" t="str">
        <x:v>R01</x:v>
      </x:c>
      <x:c r="U40" s="7"/>
      <x:c r="V40" s="48"/>
    </x:row>
    <x:row r="41">
      <x:c r="A41" s="7" t="str">
        <x:v>UX-061</x:v>
      </x:c>
      <x:c r="B41" s="7" t="str">
        <x:v>Settings</x:v>
      </x:c>
      <x:c r="C41" s="7" t="str">
        <x:v>Settings Navigation</x:v>
      </x:c>
      <x:c r="D41" s="7" t="str">
        <x:v>Use General, Notifications, Domain and Privacy sections</x:v>
      </x:c>
      <x:c r="E41" s="7" t="str">
        <x:v>Visible navigation options must lead to real, distinct settings content.</x:v>
      </x:c>
      <x:c r="F41" s="7" t="str">
        <x:v>Settings shows General/Notifications/Domain/Privacy buttons, but only General is active and buttons have no switching behavior.</x:v>
      </x:c>
      <x:c r="G41" s="7" t="str">
        <x:v>Gap</x:v>
      </x:c>
      <x:c r="H41" s="7" t="str">
        <x:v>Implement tabs fully or hide unavailable tabs until functional.</x:v>
      </x:c>
      <x:c r="I41" s="7" t="str">
        <x:v>P0</x:v>
      </x:c>
      <x:c r="J41" s="7" t="str">
        <x:v>Complete without facilitator; SEQ ≥5/7</x:v>
      </x:c>
      <x:c r="K41" s="7" t="str">
        <x:v>Not Tested</x:v>
      </x:c>
      <x:c r="L41" s="7" t="str"/>
      <x:c r="M41" s="7" t="str"/>
      <x:c r="N41" s="7" t="str"/>
      <x:c r="O41" s="7" t="str"/>
      <x:c r="P41" s="7" t="str"/>
      <x:c r="Q41" s="7" t="str"/>
      <x:c r="R41" s="7" t="str"/>
      <x:c r="S41" s="7" t="str"/>
      <x:c r="T41" s="7" t="str">
        <x:v>R01</x:v>
      </x:c>
      <x:c r="U41" s="7"/>
      <x:c r="V41" s="48"/>
    </x:row>
    <x:row r="42">
      <x:c r="A42" s="7" t="str">
        <x:v>UX-062</x:v>
      </x:c>
      <x:c r="B42" s="7" t="str">
        <x:v>Help</x:v>
      </x:c>
      <x:c r="C42" s="7" t="str">
        <x:v>Help Center</x:v>
      </x:c>
      <x:c r="D42" s="7" t="str">
        <x:v>Find help for current task</x:v>
      </x:c>
      <x:c r="E42" s="7" t="str">
        <x:v>Help should use role-specific terms and be reachable consistently from key workflows.</x:v>
      </x:c>
      <x:c r="F42" s="7" t="str">
        <x:v>Help Center exists and Live Chat is globally available.</x:v>
      </x:c>
      <x:c r="G42" s="7" t="str">
        <x:v>Partial</x:v>
      </x:c>
      <x:c r="H42" s="7" t="str">
        <x:v>Context-link help topics from editor/checkout and rename User→Customer, Editor→Web Designer.</x:v>
      </x:c>
      <x:c r="I42" s="7" t="str">
        <x:v>P1</x:v>
      </x:c>
      <x:c r="J42" s="7" t="str">
        <x:v>Complete without facilitator; SEQ ≥5/7</x:v>
      </x:c>
      <x:c r="K42" s="7" t="str">
        <x:v>Not Tested</x:v>
      </x:c>
      <x:c r="L42" s="7" t="str"/>
      <x:c r="M42" s="7" t="str"/>
      <x:c r="N42" s="7" t="str"/>
      <x:c r="O42" s="7" t="str"/>
      <x:c r="P42" s="7" t="str"/>
      <x:c r="Q42" s="7" t="str"/>
      <x:c r="R42" s="7" t="str"/>
      <x:c r="S42" s="7" t="str"/>
      <x:c r="T42" s="7" t="str">
        <x:v>R03,R01</x:v>
      </x:c>
      <x:c r="U42" s="7"/>
      <x:c r="V42" s="48"/>
    </x:row>
    <x:row r="43">
      <x:c r="A43" s="7" t="str">
        <x:v>UX-063</x:v>
      </x:c>
      <x:c r="B43" s="7" t="str">
        <x:v>Accessibility</x:v>
      </x:c>
      <x:c r="C43" s="7" t="str">
        <x:v>Drag Alternatives</x:v>
      </x:c>
      <x:c r="D43" s="7" t="str">
        <x:v>Reorder Canvas without dragging</x:v>
      </x:c>
      <x:c r="E43" s="7" t="str">
        <x:v>Any drag-only action should have a single-pointer/non-drag alternative.</x:v>
      </x:c>
      <x:c r="F43" s="7" t="str">
        <x:v>Page Structure provides Move Up and Move Down buttons in addition to drag.</x:v>
      </x:c>
      <x:c r="G43" s="7" t="str">
        <x:v>Meets</x:v>
      </x:c>
      <x:c r="H43" s="7" t="str">
        <x:v>Verify buttons meet target size and keyboard focus requirements.</x:v>
      </x:c>
      <x:c r="I43" s="7" t="str">
        <x:v>P1</x:v>
      </x:c>
      <x:c r="J43" s="7" t="str">
        <x:v>Complete without facilitator; SEQ ≥5/7</x:v>
      </x:c>
      <x:c r="K43" s="7" t="str">
        <x:v>Not Tested</x:v>
      </x:c>
      <x:c r="L43" s="7" t="str"/>
      <x:c r="M43" s="7" t="str"/>
      <x:c r="N43" s="7" t="str"/>
      <x:c r="O43" s="7" t="str"/>
      <x:c r="P43" s="7" t="str"/>
      <x:c r="Q43" s="7" t="str"/>
      <x:c r="R43" s="7" t="str"/>
      <x:c r="S43" s="7" t="str"/>
      <x:c r="T43" s="7" t="str">
        <x:v>R04,R05</x:v>
      </x:c>
      <x:c r="U43" s="7"/>
      <x:c r="V43" s="48"/>
    </x:row>
    <x:row r="44">
      <x:c r="A44" s="7" t="str">
        <x:v>UX-064</x:v>
      </x:c>
      <x:c r="B44" s="7" t="str">
        <x:v>Authorization</x:v>
      </x:c>
      <x:c r="C44" s="7" t="str">
        <x:v>Own Data</x:v>
      </x:c>
      <x:c r="D44" s="7" t="str">
        <x:v>Never see/edit another Customer's website/order</x:v>
      </x:c>
      <x:c r="E44" s="7" t="str">
        <x:v>Customer access should be scoped to own site and own commerce/support data.</x:v>
      </x:c>
      <x:c r="F44" s="7" t="str">
        <x:v>Backend has canvas.manage.own and site ownership handling; Customer lacks general orders.view.</x:v>
      </x:c>
      <x:c r="G44" s="7" t="str">
        <x:v>Partial</x:v>
      </x:c>
      <x:c r="H44" s="7" t="str">
        <x:v>Add own-order endpoint/page without granting broad orders.view; pen-test object-level authorization.</x:v>
      </x:c>
      <x:c r="I44" s="7" t="str">
        <x:v>P0</x:v>
      </x:c>
      <x:c r="J44" s="7" t="str">
        <x:v>Complete without facilitator; SEQ ≥5/7</x:v>
      </x:c>
      <x:c r="K44" s="7" t="str">
        <x:v>Not Tested</x:v>
      </x:c>
      <x:c r="L44" s="7" t="str"/>
      <x:c r="M44" s="7" t="str"/>
      <x:c r="N44" s="7" t="str"/>
      <x:c r="O44" s="7" t="str"/>
      <x:c r="P44" s="7" t="str"/>
      <x:c r="Q44" s="7" t="str"/>
      <x:c r="R44" s="7" t="str"/>
      <x:c r="S44" s="7" t="str"/>
      <x:c r="T44" s="7" t="str">
        <x:v>R15,R16</x:v>
      </x:c>
      <x:c r="U44" s="7"/>
      <x:c r="V44" s="48"/>
    </x:row>
    <x:row r="45">
      <x:c r="V45" s="50"/>
    </x:row>
    <x:row r="46">
      <x:c r="V46" s="50"/>
    </x:row>
    <x:row r="47">
      <x:c r="V47" s="50"/>
    </x:row>
    <x:row r="48">
      <x:c r="V48" s="50"/>
    </x:row>
    <x:row r="49">
      <x:c r="V49" s="50"/>
    </x:row>
    <x:row r="50">
      <x:c r="V50" s="50"/>
    </x:row>
    <x:row r="51">
      <x:c r="V51" s="50"/>
    </x:row>
    <x:row r="52">
      <x:c r="V52" s="50"/>
    </x:row>
    <x:row r="53">
      <x:c r="V53" s="50"/>
    </x:row>
    <x:row r="54">
      <x:c r="V54" s="50"/>
    </x:row>
    <x:row r="55">
      <x:c r="V55" s="50"/>
    </x:row>
    <x:row r="56">
      <x:c r="V56" s="50"/>
    </x:row>
    <x:row r="57">
      <x:c r="V57" s="50"/>
    </x:row>
    <x:row r="58">
      <x:c r="V58" s="50"/>
    </x:row>
    <x:row r="59">
      <x:c r="V59" s="50"/>
    </x:row>
    <x:row r="60">
      <x:c r="V60" s="50"/>
    </x:row>
    <x:row r="61">
      <x:c r="V61" s="50"/>
    </x:row>
    <x:row r="62">
      <x:c r="V62" s="50"/>
    </x:row>
    <x:row r="63">
      <x:c r="V63" s="50"/>
    </x:row>
    <x:row r="64">
      <x:c r="V64" s="50"/>
    </x:row>
    <x:row r="65">
      <x:c r="V65" s="50"/>
    </x:row>
    <x:row r="66">
      <x:c r="V66" s="50"/>
    </x:row>
    <x:row r="67">
      <x:c r="V67" s="50"/>
    </x:row>
    <x:row r="68">
      <x:c r="V68" s="50"/>
    </x:row>
    <x:row r="69">
      <x:c r="V69" s="50"/>
    </x:row>
    <x:row r="70">
      <x:c r="V70" s="50"/>
    </x:row>
    <x:row r="71">
      <x:c r="V71" s="50"/>
    </x:row>
    <x:row r="72">
      <x:c r="V72" s="50"/>
    </x:row>
    <x:row r="73">
      <x:c r="V73" s="50"/>
    </x:row>
    <x:row r="74">
      <x:c r="V74" s="50"/>
    </x:row>
    <x:row r="75">
      <x:c r="V75" s="50"/>
    </x:row>
    <x:row r="76">
      <x:c r="V76" s="50"/>
    </x:row>
    <x:row r="77">
      <x:c r="V77" s="50"/>
    </x:row>
    <x:row r="78">
      <x:c r="V78" s="50"/>
    </x:row>
    <x:row r="79">
      <x:c r="V79" s="50"/>
    </x:row>
    <x:row r="80">
      <x:c r="V80" s="50"/>
    </x:row>
    <x:row r="81">
      <x:c r="V81" s="50"/>
    </x:row>
    <x:row r="82">
      <x:c r="V82" s="50"/>
    </x:row>
    <x:row r="83">
      <x:c r="V83" s="50"/>
    </x:row>
    <x:row r="84">
      <x:c r="V84" s="50"/>
    </x:row>
    <x:row r="85">
      <x:c r="V85" s="50"/>
    </x:row>
    <x:row r="86">
      <x:c r="V86" s="50"/>
    </x:row>
    <x:row r="87">
      <x:c r="V87" s="50"/>
    </x:row>
    <x:row r="88">
      <x:c r="V88" s="50"/>
    </x:row>
    <x:row r="89">
      <x:c r="V89" s="50"/>
    </x:row>
    <x:row r="90">
      <x:c r="V90" s="50"/>
    </x:row>
    <x:row r="91">
      <x:c r="V91" s="50"/>
    </x:row>
    <x:row r="92">
      <x:c r="V92" s="50"/>
    </x:row>
    <x:row r="93">
      <x:c r="V93" s="50"/>
    </x:row>
    <x:row r="94">
      <x:c r="V94" s="50"/>
    </x:row>
    <x:row r="95">
      <x:c r="V95" s="50"/>
    </x:row>
    <x:row r="96">
      <x:c r="V96" s="50"/>
    </x:row>
    <x:row r="97">
      <x:c r="V97" s="50"/>
    </x:row>
    <x:row r="98">
      <x:c r="V98" s="50"/>
    </x:row>
    <x:row r="99">
      <x:c r="V99" s="50"/>
    </x:row>
    <x:row r="100">
      <x:c r="V100" s="50"/>
    </x:row>
    <x:row r="101">
      <x:c r="V101" s="50"/>
    </x:row>
    <x:row r="102">
      <x:c r="V102" s="50"/>
    </x:row>
    <x:row r="103">
      <x:c r="V103" s="50"/>
    </x:row>
    <x:row r="104">
      <x:c r="V104" s="50"/>
    </x:row>
    <x:row r="105">
      <x:c r="V105" s="50"/>
    </x:row>
    <x:row r="106">
      <x:c r="V106" s="50"/>
    </x:row>
    <x:row r="107">
      <x:c r="V107" s="50"/>
    </x:row>
    <x:row r="108">
      <x:c r="V108" s="50"/>
    </x:row>
    <x:row r="109">
      <x:c r="V109" s="50"/>
    </x:row>
    <x:row r="110">
      <x:c r="V110" s="50"/>
    </x:row>
    <x:row r="111">
      <x:c r="V111" s="50"/>
    </x:row>
    <x:row r="112">
      <x:c r="V112" s="50"/>
    </x:row>
    <x:row r="113">
      <x:c r="V113" s="50"/>
    </x:row>
    <x:row r="114">
      <x:c r="V114" s="50"/>
    </x:row>
    <x:row r="115">
      <x:c r="V115" s="50"/>
    </x:row>
    <x:row r="116">
      <x:c r="V116" s="50"/>
    </x:row>
    <x:row r="117">
      <x:c r="V117" s="50"/>
    </x:row>
    <x:row r="118">
      <x:c r="V118" s="50"/>
    </x:row>
    <x:row r="119">
      <x:c r="V119" s="50"/>
    </x:row>
    <x:row r="120">
      <x:c r="V120" s="50"/>
    </x:row>
    <x:row r="121">
      <x:c r="V121" s="50"/>
    </x:row>
    <x:row r="122">
      <x:c r="V122" s="50"/>
    </x:row>
    <x:row r="123">
      <x:c r="V123" s="50"/>
    </x:row>
    <x:row r="124">
      <x:c r="V124" s="50"/>
    </x:row>
    <x:row r="125">
      <x:c r="V125" s="50"/>
    </x:row>
    <x:row r="126">
      <x:c r="V126" s="50"/>
    </x:row>
    <x:row r="127">
      <x:c r="V127" s="50"/>
    </x:row>
    <x:row r="128">
      <x:c r="V128" s="50"/>
    </x:row>
    <x:row r="129">
      <x:c r="V129" s="50"/>
    </x:row>
    <x:row r="130">
      <x:c r="V130" s="50"/>
    </x:row>
    <x:row r="131">
      <x:c r="V131" s="50"/>
    </x:row>
    <x:row r="132">
      <x:c r="V132" s="50"/>
    </x:row>
    <x:row r="133">
      <x:c r="V133" s="50"/>
    </x:row>
    <x:row r="134">
      <x:c r="V134" s="50"/>
    </x:row>
    <x:row r="135">
      <x:c r="V135" s="50"/>
    </x:row>
    <x:row r="136">
      <x:c r="V136" s="50"/>
    </x:row>
    <x:row r="137">
      <x:c r="V137" s="50"/>
    </x:row>
    <x:row r="138">
      <x:c r="V138" s="50"/>
    </x:row>
    <x:row r="139">
      <x:c r="V139" s="50"/>
    </x:row>
    <x:row r="140">
      <x:c r="V140" s="50"/>
    </x:row>
    <x:row r="141">
      <x:c r="V141" s="50"/>
    </x:row>
    <x:row r="142">
      <x:c r="V142" s="50"/>
    </x:row>
    <x:row r="143">
      <x:c r="V143" s="50"/>
    </x:row>
    <x:row r="144">
      <x:c r="V144" s="50"/>
    </x:row>
    <x:row r="145">
      <x:c r="V145" s="50"/>
    </x:row>
    <x:row r="146">
      <x:c r="V146" s="50"/>
    </x:row>
    <x:row r="147">
      <x:c r="V147" s="50"/>
    </x:row>
    <x:row r="148">
      <x:c r="V148" s="50"/>
    </x:row>
    <x:row r="149">
      <x:c r="V149" s="50"/>
    </x:row>
    <x:row r="150">
      <x:c r="V150" s="50"/>
    </x:row>
    <x:row r="151">
      <x:c r="V151" s="50"/>
    </x:row>
    <x:row r="152">
      <x:c r="V152" s="50"/>
    </x:row>
    <x:row r="153">
      <x:c r="V153" s="50"/>
    </x:row>
    <x:row r="154">
      <x:c r="V154" s="50"/>
    </x:row>
    <x:row r="155">
      <x:c r="V155" s="50"/>
    </x:row>
    <x:row r="156">
      <x:c r="V156" s="50"/>
    </x:row>
    <x:row r="157">
      <x:c r="V157" s="50"/>
    </x:row>
    <x:row r="158">
      <x:c r="V158" s="50"/>
    </x:row>
    <x:row r="159">
      <x:c r="V159" s="50"/>
    </x:row>
    <x:row r="160">
      <x:c r="V160" s="50"/>
    </x:row>
    <x:row r="161">
      <x:c r="V161" s="50"/>
    </x:row>
    <x:row r="162">
      <x:c r="V162" s="50"/>
    </x:row>
    <x:row r="163">
      <x:c r="V163" s="50"/>
    </x:row>
    <x:row r="164">
      <x:c r="V164" s="50"/>
    </x:row>
    <x:row r="165">
      <x:c r="V165" s="50"/>
    </x:row>
    <x:row r="166">
      <x:c r="V166" s="50"/>
    </x:row>
    <x:row r="167">
      <x:c r="V167" s="50"/>
    </x:row>
    <x:row r="168">
      <x:c r="V168" s="50"/>
    </x:row>
    <x:row r="169">
      <x:c r="V169" s="50"/>
    </x:row>
    <x:row r="170">
      <x:c r="V170" s="50"/>
    </x:row>
    <x:row r="171">
      <x:c r="V171" s="50"/>
    </x:row>
    <x:row r="172">
      <x:c r="V172" s="50"/>
    </x:row>
    <x:row r="173">
      <x:c r="V173" s="50"/>
    </x:row>
    <x:row r="174">
      <x:c r="V174" s="50"/>
    </x:row>
    <x:row r="175">
      <x:c r="V175" s="50"/>
    </x:row>
    <x:row r="176">
      <x:c r="V176" s="50"/>
    </x:row>
    <x:row r="177">
      <x:c r="V177" s="50"/>
    </x:row>
    <x:row r="178">
      <x:c r="V178" s="50"/>
    </x:row>
    <x:row r="179">
      <x:c r="V179" s="50"/>
    </x:row>
    <x:row r="180">
      <x:c r="V180" s="50"/>
    </x:row>
    <x:row r="181">
      <x:c r="V181" s="50"/>
    </x:row>
    <x:row r="182">
      <x:c r="V182" s="50"/>
    </x:row>
    <x:row r="183">
      <x:c r="V183" s="50"/>
    </x:row>
    <x:row r="184">
      <x:c r="V184" s="50"/>
    </x:row>
    <x:row r="185">
      <x:c r="V185" s="50"/>
    </x:row>
    <x:row r="186">
      <x:c r="V186" s="50"/>
    </x:row>
    <x:row r="187">
      <x:c r="V187" s="50"/>
    </x:row>
    <x:row r="188">
      <x:c r="V188" s="50"/>
    </x:row>
    <x:row r="189">
      <x:c r="V189" s="50"/>
    </x:row>
    <x:row r="190">
      <x:c r="V190" s="50"/>
    </x:row>
    <x:row r="191">
      <x:c r="V191" s="50"/>
    </x:row>
    <x:row r="192">
      <x:c r="V192" s="50"/>
    </x:row>
    <x:row r="193">
      <x:c r="V193" s="50"/>
    </x:row>
    <x:row r="194">
      <x:c r="V194" s="50"/>
    </x:row>
    <x:row r="195">
      <x:c r="V195" s="50"/>
    </x:row>
    <x:row r="196">
      <x:c r="V196" s="50"/>
    </x:row>
    <x:row r="197">
      <x:c r="V197" s="50"/>
    </x:row>
    <x:row r="198">
      <x:c r="V198" s="50"/>
    </x:row>
    <x:row r="199">
      <x:c r="V199" s="50"/>
    </x:row>
    <x:row r="200">
      <x:c r="V200" s="50"/>
    </x:row>
  </x:sheetData>
  <x:mergeCells>
    <x:mergeCell ref="A1:T1"/>
    <x:mergeCell ref="D3:H7"/>
  </x:mergeCells>
  <x:conditionalFormatting sqref="G10:G44">
    <x:cfRule type="expression" dxfId="12" priority="1">
      <x:formula>G10="Meets"</x:formula>
    </x:cfRule>
    <x:cfRule type="expression" dxfId="13" priority="2">
      <x:formula>G10="Partial"</x:formula>
    </x:cfRule>
    <x:cfRule type="expression" dxfId="14" priority="3">
      <x:formula>G10="Gap"</x:formula>
    </x:cfRule>
    <x:cfRule type="expression" dxfId="15" priority="4">
      <x:formula>G10="Needs User Test"</x:formula>
    </x:cfRule>
  </x:conditionalFormatting>
  <x:conditionalFormatting sqref="K10:K44">
    <x:cfRule type="expression" dxfId="16" priority="5">
      <x:formula>K10="Pass"</x:formula>
    </x:cfRule>
    <x:cfRule type="expression" dxfId="17" priority="6">
      <x:formula>K10="Fail"</x:formula>
    </x:cfRule>
  </x:conditionalFormatting>
  <x:dataValidations count="7">
    <x:dataValidation type="list" sqref="G10:G44">
      <x:formula1>"Meets,Partial,Gap,Needs User Test"</x:formula1>
    </x:dataValidation>
    <x:dataValidation type="list" sqref="I10:I44">
      <x:formula1>"P0,P1,P2"</x:formula1>
    </x:dataValidation>
    <x:dataValidation type="list" sqref="K10:K44">
      <x:formula1>"Not Tested,Pass,Fail,Blocked"</x:formula1>
    </x:dataValidation>
    <x:dataValidation type="list" sqref="L10:L44">
      <x:formula1>"Yes,No,N/A"</x:formula1>
    </x:dataValidation>
    <x:dataValidation type="list" sqref="O10:O44">
      <x:formula1>"None,Hint,Direct"</x:formula1>
    </x:dataValidation>
    <x:dataValidation type="list" sqref="P10:P44">
      <x:formula1>"1,2,3,4,5,6,7"</x:formula1>
    </x:dataValidation>
    <x:dataValidation type="list" sqref="Q10:Q44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162d2cb07249e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22" hidden="0" customWidth="1"/>
    <x:col min="4" max="4" width="40" hidden="0" customWidth="1"/>
    <x:col min="5" max="5" width="50" hidden="0" customWidth="1"/>
    <x:col min="6" max="6" width="50" hidden="0" customWidth="1"/>
    <x:col min="7" max="7" width="18" hidden="0" customWidth="1"/>
    <x:col min="8" max="8" width="50" hidden="0" customWidth="1"/>
    <x:col min="9" max="9" width="10" hidden="0" customWidth="1"/>
    <x:col min="10" max="10" width="34" hidden="0" customWidth="1"/>
    <x:col min="11" max="11" width="14" hidden="0" customWidth="1"/>
    <x:col min="12" max="12" width="13" hidden="0" customWidth="1"/>
    <x:col min="13" max="13" width="12" hidden="0" customWidth="1"/>
    <x:col min="14" max="14" width="10" hidden="0" customWidth="1"/>
    <x:col min="15" max="15" width="12" hidden="0" customWidth="1"/>
    <x:col min="16" max="16" width="11" hidden="0" customWidth="1"/>
    <x:col min="17" max="17" width="15" hidden="0" customWidth="1"/>
    <x:col min="18" max="18" width="48" hidden="0" customWidth="1"/>
    <x:col min="19" max="19" width="14" hidden="0" customWidth="1"/>
    <x:col min="20" max="20" width="16" hidden="0" customWidth="1"/>
    <x:col min="21" max="21" width="36" hidden="0" customWidth="1"/>
    <x:col min="22" max="22" width="14" hidden="0" customWidth="1"/>
  </x:cols>
  <x:sheetData>
    <x:row r="1" ht="28" customHeight="1">
      <x:c r="A1" s="14" t="str">
        <x:v>Web Designer — UX QA Form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</x:row>
    <x:row r="3">
      <x:c r="A3" s="22" t="str">
        <x:v>Role Definition</x:v>
      </x:c>
      <x:c r="B3" s="7" t="str">
        <x:v>Assigned site &amp; template designer</x:v>
      </x:c>
      <x:c r="D3" s="27" t="str">
        <x:v>Moderator instruction: berikan task, bukan langkah. Jangan mengajari tester sebelum task selesai. Catat apakah task selesai tanpa bantuan, waktu, error, bantuan yang dibutuhkan, SEQ (1=sangat sulit, 7=sangat mudah), dan confidence (1=tidak yakin, 5=sangat yakin). Functional Pass tidak otomatis berarti UX nyaman.</x:v>
      </x:c>
      <x:c r="E3" s="27"/>
      <x:c r="F3" s="27"/>
      <x:c r="G3" s="27"/>
      <x:c r="H3" s="27"/>
    </x:row>
    <x:row r="4">
      <x:c r="A4" s="22" t="str">
        <x:v>Critical Journey</x:v>
      </x:c>
      <x:c r="B4" s="7" t="str">
        <x:v>My Clients/Tasks → Edit Site or Create Template → Preview → Save/Submit Approval → Customer Communication</x:v>
      </x:c>
      <x:c r="D4" s="27"/>
      <x:c r="E4" s="27"/>
      <x:c r="F4" s="27"/>
      <x:c r="G4" s="27"/>
      <x:c r="H4" s="27"/>
    </x:row>
    <x:row r="5">
      <x:c r="A5" s="22" t="str">
        <x:v>Tester Name</x:v>
      </x:c>
      <x:c r="B5" s="7" t="str"/>
      <x:c r="D5" s="27"/>
      <x:c r="E5" s="27"/>
      <x:c r="F5" s="27"/>
      <x:c r="G5" s="27"/>
      <x:c r="H5" s="27"/>
    </x:row>
    <x:row r="6">
      <x:c r="A6" s="22" t="str">
        <x:v>Device / Browser</x:v>
      </x:c>
      <x:c r="B6" s="7" t="str"/>
      <x:c r="D6" s="27"/>
      <x:c r="E6" s="27"/>
      <x:c r="F6" s="27"/>
      <x:c r="G6" s="27"/>
      <x:c r="H6" s="27"/>
    </x:row>
    <x:row r="7">
      <x:c r="A7" s="22" t="str">
        <x:v>Build / Date</x:v>
      </x:c>
      <x:c r="B7" s="7" t="str">
        <x:v>v0.13 / </x:v>
      </x:c>
      <x:c r="D7" s="27"/>
      <x:c r="E7" s="27"/>
      <x:c r="F7" s="27"/>
      <x:c r="G7" s="27"/>
      <x:c r="H7" s="27"/>
    </x:row>
    <x:row r="9">
      <x:c r="A9" s="6" t="str">
        <x:v>QA ID</x:v>
      </x:c>
      <x:c r="B9" s="6" t="str">
        <x:v>Stage</x:v>
      </x:c>
      <x:c r="C9" s="6" t="str">
        <x:v>Feature</x:v>
      </x:c>
      <x:c r="D9" s="6" t="str">
        <x:v>Task / Scenario</x:v>
      </x:c>
      <x:c r="E9" s="6" t="str">
        <x:v>Expected UX</x:v>
      </x:c>
      <x:c r="F9" s="6" t="str">
        <x:v>Current v0.13</x:v>
      </x:c>
      <x:c r="G9" s="6" t="str">
        <x:v>Pre-Audit</x:v>
      </x:c>
      <x:c r="H9" s="6" t="str">
        <x:v>Recommendation</x:v>
      </x:c>
      <x:c r="I9" s="6" t="str">
        <x:v>Priority</x:v>
      </x:c>
      <x:c r="J9" s="6" t="str">
        <x:v>Target</x:v>
      </x:c>
      <x:c r="K9" s="6" t="str">
        <x:v>Tester Result</x:v>
      </x:c>
      <x:c r="L9" s="6" t="str">
        <x:v>Task Success</x:v>
      </x:c>
      <x:c r="M9" s="6" t="str">
        <x:v>Time sec</x:v>
      </x:c>
      <x:c r="N9" s="6" t="str">
        <x:v>Errors</x:v>
      </x:c>
      <x:c r="O9" s="6" t="str">
        <x:v>Assistance</x:v>
      </x:c>
      <x:c r="P9" s="6" t="str">
        <x:v>SEQ 1-7</x:v>
      </x:c>
      <x:c r="Q9" s="6" t="str">
        <x:v>Confidence 1-5</x:v>
      </x:c>
      <x:c r="R9" s="6" t="str">
        <x:v>Actual Observation</x:v>
      </x:c>
      <x:c r="S9" s="6" t="str">
        <x:v>Defect ID</x:v>
      </x:c>
      <x:c r="T9" s="6" t="str">
        <x:v>Source IDs</x:v>
      </x:c>
      <x:c r="U9" s="3" t="str">
        <x:v>Tester Notes</x:v>
      </x:c>
      <x:c r="V9" s="3" t="str">
        <x:v>Test Date</x:v>
      </x:c>
    </x:row>
    <x:row r="10">
      <x:c r="A10" s="7" t="str">
        <x:v>UX-065</x:v>
      </x:c>
      <x:c r="B10" s="7" t="str">
        <x:v>Identity</x:v>
      </x:c>
      <x:c r="C10" s="7" t="str">
        <x:v>Role Language</x:v>
      </x:c>
      <x:c r="D10" s="7" t="str">
        <x:v>Recognize professional role consistently</x:v>
      </x:c>
      <x:c r="E10" s="7" t="str">
        <x:v>Role label should match operational job title everywhere.</x:v>
      </x:c>
      <x:c r="F10" s="7" t="str">
        <x:v>System role and many labels still use 'Editor'; requested role is 'Web Designer'.</x:v>
      </x:c>
      <x:c r="G10" s="7" t="str">
        <x:v>Gap</x:v>
      </x:c>
      <x:c r="H10" s="7" t="str">
        <x:v>Rename visible role/menu copy to Web Designer; preserve role_editor internally.</x:v>
      </x:c>
      <x:c r="I10" s="7" t="str">
        <x:v>P0</x:v>
      </x:c>
      <x:c r="J10" s="7" t="str">
        <x:v>Complete without facilitator; SEQ ≥5/7</x:v>
      </x:c>
      <x:c r="K10" s="7" t="str">
        <x:v>Not Tested</x:v>
      </x:c>
      <x:c r="L10" s="7" t="str"/>
      <x:c r="M10" s="7" t="str"/>
      <x:c r="N10" s="7" t="str"/>
      <x:c r="O10" s="7" t="str"/>
      <x:c r="P10" s="7" t="str"/>
      <x:c r="Q10" s="7" t="str"/>
      <x:c r="R10" s="7" t="str"/>
      <x:c r="S10" s="7" t="str"/>
      <x:c r="T10" s="7" t="str">
        <x:v>R01</x:v>
      </x:c>
      <x:c r="U10" s="7"/>
      <x:c r="V10" s="48"/>
    </x:row>
    <x:row r="11">
      <x:c r="A11" s="7" t="str">
        <x:v>UX-066</x:v>
      </x:c>
      <x:c r="B11" s="7" t="str">
        <x:v>Dashboard</x:v>
      </x:c>
      <x:c r="C11" s="7" t="str">
        <x:v>Work Queue</x:v>
      </x:c>
      <x:c r="D11" s="7" t="str">
        <x:v>See assigned customers and next work</x:v>
      </x:c>
      <x:c r="E11" s="7" t="str">
        <x:v>Dashboard should prioritize assigned clients, due work, approvals/rejections and blocked items.</x:v>
      </x:c>
      <x:c r="F11" s="7" t="str">
        <x:v>Dashboard shows assigned users, managed canvas count, template library and support count.</x:v>
      </x:c>
      <x:c r="G11" s="7" t="str">
        <x:v>Partial</x:v>
      </x:c>
      <x:c r="H11" s="7" t="str">
        <x:v>Add My Tasks summary with status/due date and pending approval/rejection alerts above generic metrics.</x:v>
      </x:c>
      <x:c r="I11" s="7" t="str">
        <x:v>P1</x:v>
      </x:c>
      <x:c r="J11" s="7" t="str">
        <x:v>Complete without facilitator; SEQ ≥5/7</x:v>
      </x:c>
      <x:c r="K11" s="7" t="str">
        <x:v>Not Tested</x:v>
      </x:c>
      <x:c r="L11" s="7" t="str"/>
      <x:c r="M11" s="7" t="str"/>
      <x:c r="N11" s="7" t="str"/>
      <x:c r="O11" s="7" t="str"/>
      <x:c r="P11" s="7" t="str"/>
      <x:c r="Q11" s="7" t="str"/>
      <x:c r="R11" s="7" t="str"/>
      <x:c r="S11" s="7" t="str"/>
      <x:c r="T11" s="7" t="str">
        <x:v>R01</x:v>
      </x:c>
      <x:c r="U11" s="7"/>
      <x:c r="V11" s="48"/>
    </x:row>
    <x:row r="12">
      <x:c r="A12" s="7" t="str">
        <x:v>UX-067</x:v>
      </x:c>
      <x:c r="B12" s="7" t="str">
        <x:v>Clients</x:v>
      </x:c>
      <x:c r="C12" s="7" t="str">
        <x:v>Assignment</x:v>
      </x:c>
      <x:c r="D12" s="7" t="str">
        <x:v>See only clients relevant to designer</x:v>
      </x:c>
      <x:c r="E12" s="7" t="str">
        <x:v>Designer should primarily see assigned customers and clearly distinguish unassigned pool if assignment is permitted.</x:v>
      </x:c>
      <x:c r="F12" s="7" t="str">
        <x:v>ClientManagement exists; assignment model is persisted server-side.</x:v>
      </x:c>
      <x:c r="G12" s="7" t="str">
        <x:v>Partial</x:v>
      </x:c>
      <x:c r="H12" s="7" t="str">
        <x:v>Default to 'My Clients'; put unassigned pool behind explicit Assign action/filter.</x:v>
      </x:c>
      <x:c r="I12" s="7" t="str">
        <x:v>P1</x:v>
      </x:c>
      <x:c r="J12" s="7" t="str">
        <x:v>Complete without facilitator; SEQ ≥5/7</x:v>
      </x:c>
      <x:c r="K12" s="7" t="str">
        <x:v>Not Tested</x:v>
      </x:c>
      <x:c r="L12" s="7" t="str"/>
      <x:c r="M12" s="7" t="str"/>
      <x:c r="N12" s="7" t="str"/>
      <x:c r="O12" s="7" t="str"/>
      <x:c r="P12" s="7" t="str"/>
      <x:c r="Q12" s="7" t="str"/>
      <x:c r="R12" s="7" t="str"/>
      <x:c r="S12" s="7" t="str"/>
      <x:c r="T12" s="7" t="str">
        <x:v>R15,R16</x:v>
      </x:c>
      <x:c r="U12" s="7"/>
      <x:c r="V12" s="48"/>
    </x:row>
    <x:row r="13">
      <x:c r="A13" s="7" t="str">
        <x:v>UX-068</x:v>
      </x:c>
      <x:c r="B13" s="7" t="str">
        <x:v>Clients</x:v>
      </x:c>
      <x:c r="C13" s="7" t="str">
        <x:v>Search</x:v>
      </x:c>
      <x:c r="D13" s="7" t="str">
        <x:v>Find a customer quickly</x:v>
      </x:c>
      <x:c r="E13" s="7" t="str">
        <x:v>Client list should support search/filter by customer, project status and assignment.</x:v>
      </x:c>
      <x:c r="F13" s="7" t="str">
        <x:v>Admin account directory has search; ClientManagement requires dedicated UX test/source review.</x:v>
      </x:c>
      <x:c r="G13" s="7" t="str">
        <x:v>Needs User Test</x:v>
      </x:c>
      <x:c r="H13" s="7" t="str">
        <x:v>Test with 50–100 client records; add search/filter if absent/insufficient.</x:v>
      </x:c>
      <x:c r="I13" s="7" t="str">
        <x:v>P1</x:v>
      </x:c>
      <x:c r="J13" s="7" t="str">
        <x:v>Complete without facilitator; SEQ ≥5/7</x:v>
      </x:c>
      <x:c r="K13" s="7" t="str">
        <x:v>Not Tested</x:v>
      </x:c>
      <x:c r="L13" s="7" t="str"/>
      <x:c r="M13" s="7" t="str"/>
      <x:c r="N13" s="7" t="str"/>
      <x:c r="O13" s="7" t="str"/>
      <x:c r="P13" s="7" t="str"/>
      <x:c r="Q13" s="7" t="str"/>
      <x:c r="R13" s="7" t="str"/>
      <x:c r="S13" s="7" t="str"/>
      <x:c r="T13" s="7" t="str">
        <x:v>R01</x:v>
      </x:c>
      <x:c r="U13" s="7"/>
      <x:c r="V13" s="48"/>
    </x:row>
    <x:row r="14">
      <x:c r="A14" s="7" t="str">
        <x:v>UX-069</x:v>
      </x:c>
      <x:c r="B14" s="7" t="str">
        <x:v>Clients</x:v>
      </x:c>
      <x:c r="C14" s="7" t="str">
        <x:v>Manage Site</x:v>
      </x:c>
      <x:c r="D14" s="7" t="str">
        <x:v>Open the correct customer's site</x:v>
      </x:c>
      <x:c r="E14" s="7" t="str">
        <x:v>Selected customer identity must remain visible while editing to prevent cross-client mistakes.</x:v>
      </x:c>
      <x:c r="F14" s="7" t="str">
        <x:v>v0.12 hardened site ownership/assignment paths.</x:v>
      </x:c>
      <x:c r="G14" s="7" t="str">
        <x:v>Partial</x:v>
      </x:c>
      <x:c r="H14" s="7" t="str">
        <x:v>Keep customer name/avatar persistent in editor header and confirm before switching with unsaved changes.</x:v>
      </x:c>
      <x:c r="I14" s="7" t="str">
        <x:v>P0</x:v>
      </x:c>
      <x:c r="J14" s="7" t="str">
        <x:v>Complete without facilitator; SEQ ≥5/7</x:v>
      </x:c>
      <x:c r="K14" s="7" t="str">
        <x:v>Not Tested</x:v>
      </x:c>
      <x:c r="L14" s="7" t="str"/>
      <x:c r="M14" s="7" t="str"/>
      <x:c r="N14" s="7" t="str"/>
      <x:c r="O14" s="7" t="str"/>
      <x:c r="P14" s="7" t="str"/>
      <x:c r="Q14" s="7" t="str"/>
      <x:c r="R14" s="7" t="str"/>
      <x:c r="S14" s="7" t="str"/>
      <x:c r="T14" s="7" t="str">
        <x:v>R01</x:v>
      </x:c>
      <x:c r="U14" s="7"/>
      <x:c r="V14" s="48"/>
    </x:row>
    <x:row r="15">
      <x:c r="A15" s="7" t="str">
        <x:v>UX-070</x:v>
      </x:c>
      <x:c r="B15" s="7" t="str">
        <x:v>Templates</x:v>
      </x:c>
      <x:c r="C15" s="7" t="str">
        <x:v>Create Template</x:v>
      </x:c>
      <x:c r="D15" s="7" t="str">
        <x:v>Start a reusable template without public URL</x:v>
      </x:c>
      <x:c r="E15" s="7" t="str">
        <x:v>Template creation should be distinct from Customer site creation and avoid irrelevant URL controls.</x:v>
      </x:c>
      <x:c r="F15" s="7" t="str">
        <x:v>Template workspace is separate and hides public URL.</x:v>
      </x:c>
      <x:c r="G15" s="7" t="str">
        <x:v>Meets</x:v>
      </x:c>
      <x:c r="H15" s="7" t="str">
        <x:v>Keep workspace label explicit: Template Draft vs Customer Website.</x:v>
      </x:c>
      <x:c r="I15" s="7" t="str">
        <x:v>P1</x:v>
      </x:c>
      <x:c r="J15" s="7" t="str">
        <x:v>Complete without facilitator; SEQ ≥5/7</x:v>
      </x:c>
      <x:c r="K15" s="7" t="str">
        <x:v>Not Tested</x:v>
      </x:c>
      <x:c r="L15" s="7" t="str"/>
      <x:c r="M15" s="7" t="str"/>
      <x:c r="N15" s="7" t="str"/>
      <x:c r="O15" s="7" t="str"/>
      <x:c r="P15" s="7" t="str"/>
      <x:c r="Q15" s="7" t="str"/>
      <x:c r="R15" s="7" t="str"/>
      <x:c r="S15" s="7" t="str"/>
      <x:c r="T15" s="7" t="str">
        <x:v>R01</x:v>
      </x:c>
      <x:c r="U15" s="7"/>
      <x:c r="V15" s="48"/>
    </x:row>
    <x:row r="16">
      <x:c r="A16" s="7" t="str">
        <x:v>UX-071</x:v>
      </x:c>
      <x:c r="B16" s="7" t="str">
        <x:v>Templates</x:v>
      </x:c>
      <x:c r="C16" s="7" t="str">
        <x:v>Metadata</x:v>
      </x:c>
      <x:c r="D16" s="7" t="str">
        <x:v>Set name, category, price and description</x:v>
      </x:c>
      <x:c r="E16" s="7" t="str">
        <x:v>Commercial metadata should be required/validated before approval submission.</x:v>
      </x:c>
      <x:c r="F16" s="7" t="str">
        <x:v>Template creator captures metadata including price and description.</x:v>
      </x:c>
      <x:c r="G16" s="7" t="str">
        <x:v>Partial</x:v>
      </x:c>
      <x:c r="H16" s="7" t="str">
        <x:v>Validate price &gt;0/business rule, preview image and required description before Submit for Approval.</x:v>
      </x:c>
      <x:c r="I16" s="7" t="str">
        <x:v>P1</x:v>
      </x:c>
      <x:c r="J16" s="7" t="str">
        <x:v>Complete without facilitator; SEQ ≥5/7</x:v>
      </x:c>
      <x:c r="K16" s="7" t="str">
        <x:v>Not Tested</x:v>
      </x:c>
      <x:c r="L16" s="7" t="str"/>
      <x:c r="M16" s="7" t="str"/>
      <x:c r="N16" s="7" t="str"/>
      <x:c r="O16" s="7" t="str"/>
      <x:c r="P16" s="7" t="str"/>
      <x:c r="Q16" s="7" t="str"/>
      <x:c r="R16" s="7" t="str"/>
      <x:c r="S16" s="7" t="str"/>
      <x:c r="T16" s="7" t="str">
        <x:v>R01</x:v>
      </x:c>
      <x:c r="U16" s="7"/>
      <x:c r="V16" s="48"/>
    </x:row>
    <x:row r="17">
      <x:c r="A17" s="7" t="str">
        <x:v>UX-072</x:v>
      </x:c>
      <x:c r="B17" s="7" t="str">
        <x:v>Templates</x:v>
      </x:c>
      <x:c r="C17" s="7" t="str">
        <x:v>Approval</x:v>
      </x:c>
      <x:c r="D17" s="7" t="str">
        <x:v>Submit template and see Pending status</x:v>
      </x:c>
      <x:c r="E17" s="7" t="str">
        <x:v>Submission should create one approval item and clearly show current status/next action.</x:v>
      </x:c>
      <x:c r="F17" s="7" t="str">
        <x:v>Backend creates Approval task and Pending status.</x:v>
      </x:c>
      <x:c r="G17" s="7" t="str">
        <x:v>Meets</x:v>
      </x:c>
      <x:c r="H17" s="7" t="str">
        <x:v>Add dedicated 'My Submissions' view with Pending/Rejected/Published filter.</x:v>
      </x:c>
      <x:c r="I17" s="7" t="str">
        <x:v>P1</x:v>
      </x:c>
      <x:c r="J17" s="7" t="str">
        <x:v>Complete without facilitator; SEQ ≥5/7</x:v>
      </x:c>
      <x:c r="K17" s="7" t="str">
        <x:v>Not Tested</x:v>
      </x:c>
      <x:c r="L17" s="7" t="str"/>
      <x:c r="M17" s="7" t="str"/>
      <x:c r="N17" s="7" t="str"/>
      <x:c r="O17" s="7" t="str"/>
      <x:c r="P17" s="7" t="str"/>
      <x:c r="Q17" s="7" t="str"/>
      <x:c r="R17" s="7" t="str"/>
      <x:c r="S17" s="7" t="str"/>
      <x:c r="T17" s="7" t="str">
        <x:v>R01</x:v>
      </x:c>
      <x:c r="U17" s="7"/>
      <x:c r="V17" s="48"/>
    </x:row>
    <x:row r="18">
      <x:c r="A18" s="7" t="str">
        <x:v>UX-073</x:v>
      </x:c>
      <x:c r="B18" s="7" t="str">
        <x:v>Templates</x:v>
      </x:c>
      <x:c r="C18" s="7" t="str">
        <x:v>Rejection</x:v>
      </x:c>
      <x:c r="D18" s="7" t="str">
        <x:v>Understand why approval was rejected</x:v>
      </x:c>
      <x:c r="E18" s="7" t="str">
        <x:v>Rejection should surface approver feedback close to the template and offer direct Edit &amp; Resubmit.</x:v>
      </x:c>
      <x:c r="F18" s="7" t="str">
        <x:v>Decision note/email path exists in approval backend.</x:v>
      </x:c>
      <x:c r="G18" s="7" t="str">
        <x:v>Partial</x:v>
      </x:c>
      <x:c r="H18" s="7" t="str">
        <x:v>Expose feedback prominently in Designer template list and deep-link to Edit &amp; Resubmit.</x:v>
      </x:c>
      <x:c r="I18" s="7" t="str">
        <x:v>P1</x:v>
      </x:c>
      <x:c r="J18" s="7" t="str">
        <x:v>Complete without facilitator; SEQ ≥5/7</x:v>
      </x:c>
      <x:c r="K18" s="7" t="str">
        <x:v>Not Tested</x:v>
      </x:c>
      <x:c r="L18" s="7" t="str"/>
      <x:c r="M18" s="7" t="str"/>
      <x:c r="N18" s="7" t="str"/>
      <x:c r="O18" s="7" t="str"/>
      <x:c r="P18" s="7" t="str"/>
      <x:c r="Q18" s="7" t="str"/>
      <x:c r="R18" s="7" t="str"/>
      <x:c r="S18" s="7" t="str"/>
      <x:c r="T18" s="7" t="str">
        <x:v>R01</x:v>
      </x:c>
      <x:c r="U18" s="7"/>
      <x:c r="V18" s="48"/>
    </x:row>
    <x:row r="19">
      <x:c r="A19" s="7" t="str">
        <x:v>UX-074</x:v>
      </x:c>
      <x:c r="B19" s="7" t="str">
        <x:v>Templates</x:v>
      </x:c>
      <x:c r="C19" s="7" t="str">
        <x:v>Preview</x:v>
      </x:c>
      <x:c r="D19" s="7" t="str">
        <x:v>Preview actual template before submission</x:v>
      </x:c>
      <x:c r="E19" s="7" t="str">
        <x:v>Preview should render saved Canvas, not a generic representation.</x:v>
      </x:c>
      <x:c r="F19" s="7" t="str">
        <x:v>Editor preview renders current sections; public template journey preview remains generic.</x:v>
      </x:c>
      <x:c r="G19" s="7" t="str">
        <x:v>Partial</x:v>
      </x:c>
      <x:c r="H19" s="7" t="str">
        <x:v>Add approval preview using exact template canvas and responsive modes.</x:v>
      </x:c>
      <x:c r="I19" s="7" t="str">
        <x:v>P0</x:v>
      </x:c>
      <x:c r="J19" s="7" t="str">
        <x:v>Complete without facilitator; SEQ ≥5/7</x:v>
      </x:c>
      <x:c r="K19" s="7" t="str">
        <x:v>Not Tested</x:v>
      </x:c>
      <x:c r="L19" s="7" t="str"/>
      <x:c r="M19" s="7" t="str"/>
      <x:c r="N19" s="7" t="str"/>
      <x:c r="O19" s="7" t="str"/>
      <x:c r="P19" s="7" t="str"/>
      <x:c r="Q19" s="7" t="str"/>
      <x:c r="R19" s="7" t="str"/>
      <x:c r="S19" s="7" t="str"/>
      <x:c r="T19" s="7" t="str">
        <x:v>R01</x:v>
      </x:c>
      <x:c r="U19" s="7"/>
      <x:c r="V19" s="48"/>
    </x:row>
    <x:row r="20">
      <x:c r="A20" s="7" t="str">
        <x:v>UX-075</x:v>
      </x:c>
      <x:c r="B20" s="7" t="str">
        <x:v>Editor</x:v>
      </x:c>
      <x:c r="C20" s="7" t="str">
        <x:v>Page Structure</x:v>
      </x:c>
      <x:c r="D20" s="7" t="str">
        <x:v>Reorder Canvas by drag</x:v>
      </x:c>
      <x:c r="E20" s="7" t="str">
        <x:v>Drag should feel predictable with clear drop target and preserve state.</x:v>
      </x:c>
      <x:c r="F20" s="7" t="str">
        <x:v>Drag/drop exists in Page Structure.</x:v>
      </x:c>
      <x:c r="G20" s="7" t="str">
        <x:v>Needs User Test</x:v>
      </x:c>
      <x:c r="H20" s="7" t="str">
        <x:v>Test drop target visibility, long-page auto-scroll and accidental drops.</x:v>
      </x:c>
      <x:c r="I20" s="7" t="str">
        <x:v>P1</x:v>
      </x:c>
      <x:c r="J20" s="7" t="str">
        <x:v>Complete without facilitator; SEQ ≥5/7</x:v>
      </x:c>
      <x:c r="K20" s="7" t="str">
        <x:v>Not Tested</x:v>
      </x:c>
      <x:c r="L20" s="7" t="str"/>
      <x:c r="M20" s="7" t="str"/>
      <x:c r="N20" s="7" t="str"/>
      <x:c r="O20" s="7" t="str"/>
      <x:c r="P20" s="7" t="str"/>
      <x:c r="Q20" s="7" t="str"/>
      <x:c r="R20" s="7" t="str"/>
      <x:c r="S20" s="7" t="str"/>
      <x:c r="T20" s="7" t="str">
        <x:v>R01</x:v>
      </x:c>
      <x:c r="U20" s="7"/>
      <x:c r="V20" s="48"/>
    </x:row>
    <x:row r="21">
      <x:c r="A21" s="7" t="str">
        <x:v>UX-076</x:v>
      </x:c>
      <x:c r="B21" s="7" t="str">
        <x:v>Editor</x:v>
      </x:c>
      <x:c r="C21" s="7" t="str">
        <x:v>Page Structure</x:v>
      </x:c>
      <x:c r="D21" s="7" t="str">
        <x:v>Reorder Canvas without drag</x:v>
      </x:c>
      <x:c r="E21" s="7" t="str">
        <x:v>Move Up/Down or equivalent must exist as accessible alternative.</x:v>
      </x:c>
      <x:c r="F21" s="7" t="str">
        <x:v>Move Up/Move Down buttons exist.</x:v>
      </x:c>
      <x:c r="G21" s="7" t="str">
        <x:v>Meets</x:v>
      </x:c>
      <x:c r="H21" s="7" t="str">
        <x:v>Increase hit area if below target size.</x:v>
      </x:c>
      <x:c r="I21" s="7" t="str">
        <x:v>P1</x:v>
      </x:c>
      <x:c r="J21" s="7" t="str">
        <x:v>Complete without facilitator; SEQ ≥5/7</x:v>
      </x:c>
      <x:c r="K21" s="7" t="str">
        <x:v>Not Tested</x:v>
      </x:c>
      <x:c r="L21" s="7" t="str"/>
      <x:c r="M21" s="7" t="str"/>
      <x:c r="N21" s="7" t="str"/>
      <x:c r="O21" s="7" t="str"/>
      <x:c r="P21" s="7" t="str"/>
      <x:c r="Q21" s="7" t="str"/>
      <x:c r="R21" s="7" t="str"/>
      <x:c r="S21" s="7" t="str"/>
      <x:c r="T21" s="7" t="str">
        <x:v>R04,R05</x:v>
      </x:c>
      <x:c r="U21" s="7"/>
      <x:c r="V21" s="48"/>
    </x:row>
    <x:row r="22">
      <x:c r="A22" s="7" t="str">
        <x:v>UX-077</x:v>
      </x:c>
      <x:c r="B22" s="7" t="str">
        <x:v>Editor</x:v>
      </x:c>
      <x:c r="C22" s="7" t="str">
        <x:v>Feature Library</x:v>
      </x:c>
      <x:c r="D22" s="7" t="str">
        <x:v>Add feature without drag</x:v>
      </x:c>
      <x:c r="E22" s="7" t="str">
        <x:v>Feature cards should support both click and drag and make destination clear.</x:v>
      </x:c>
      <x:c r="F22" s="7" t="str">
        <x:v>Feature cards are draggable and clickable.</x:v>
      </x:c>
      <x:c r="G22" s="7" t="str">
        <x:v>Meets</x:v>
      </x:c>
      <x:c r="H22" s="7" t="str">
        <x:v>When clicking with no active column, explain where feature will be inserted.</x:v>
      </x:c>
      <x:c r="I22" s="7" t="str">
        <x:v>P1</x:v>
      </x:c>
      <x:c r="J22" s="7" t="str">
        <x:v>Complete without facilitator; SEQ ≥5/7</x:v>
      </x:c>
      <x:c r="K22" s="7" t="str">
        <x:v>Not Tested</x:v>
      </x:c>
      <x:c r="L22" s="7" t="str"/>
      <x:c r="M22" s="7" t="str"/>
      <x:c r="N22" s="7" t="str"/>
      <x:c r="O22" s="7" t="str"/>
      <x:c r="P22" s="7" t="str"/>
      <x:c r="Q22" s="7" t="str"/>
      <x:c r="R22" s="7" t="str"/>
      <x:c r="S22" s="7" t="str"/>
      <x:c r="T22" s="7" t="str">
        <x:v>R04,R01</x:v>
      </x:c>
      <x:c r="U22" s="7"/>
      <x:c r="V22" s="48"/>
    </x:row>
    <x:row r="23">
      <x:c r="A23" s="7" t="str">
        <x:v>UX-078</x:v>
      </x:c>
      <x:c r="B23" s="7" t="str">
        <x:v>Editor</x:v>
      </x:c>
      <x:c r="C23" s="7" t="str">
        <x:v>Direct Text Editing</x:v>
      </x:c>
      <x:c r="D23" s="7" t="str">
        <x:v>Edit content in context</x:v>
      </x:c>
      <x:c r="E23" s="7" t="str">
        <x:v>Inline editing should clearly indicate editable text and preserve typography.</x:v>
      </x:c>
      <x:c r="F23" s="7" t="str">
        <x:v>Inline editing is supported.</x:v>
      </x:c>
      <x:c r="G23" s="7" t="str">
        <x:v>Needs User Test</x:v>
      </x:c>
      <x:c r="H23" s="7" t="str">
        <x:v>Test discoverability with first-time designers and selection/caret behavior.</x:v>
      </x:c>
      <x:c r="I23" s="7" t="str">
        <x:v>P1</x:v>
      </x:c>
      <x:c r="J23" s="7" t="str">
        <x:v>Complete without facilitator; SEQ ≥5/7</x:v>
      </x:c>
      <x:c r="K23" s="7" t="str">
        <x:v>Not Tested</x:v>
      </x:c>
      <x:c r="L23" s="7" t="str"/>
      <x:c r="M23" s="7" t="str"/>
      <x:c r="N23" s="7" t="str"/>
      <x:c r="O23" s="7" t="str"/>
      <x:c r="P23" s="7" t="str"/>
      <x:c r="Q23" s="7" t="str"/>
      <x:c r="R23" s="7" t="str"/>
      <x:c r="S23" s="7" t="str"/>
      <x:c r="T23" s="7" t="str">
        <x:v>R01</x:v>
      </x:c>
      <x:c r="U23" s="7"/>
      <x:c r="V23" s="48"/>
    </x:row>
    <x:row r="24">
      <x:c r="A24" s="7" t="str">
        <x:v>UX-079</x:v>
      </x:c>
      <x:c r="B24" s="7" t="str">
        <x:v>Editor</x:v>
      </x:c>
      <x:c r="C24" s="7" t="str">
        <x:v>Inspector</x:v>
      </x:c>
      <x:c r="D24" s="7" t="str">
        <x:v>Use Content / Style / Advanced without hunting</x:v>
      </x:c>
      <x:c r="E24" s="7" t="str">
        <x:v>Property grouping should map to designer mental model and preserve selection context.</x:v>
      </x:c>
      <x:c r="F24" s="7" t="str">
        <x:v>Three inspector tabs exist.</x:v>
      </x:c>
      <x:c r="G24" s="7" t="str">
        <x:v>Needs User Test</x:v>
      </x:c>
      <x:c r="H24" s="7" t="str">
        <x:v>Run card-sort/task test for locating common controls: font, spacing, background, animation.</x:v>
      </x:c>
      <x:c r="I24" s="7" t="str">
        <x:v>P1</x:v>
      </x:c>
      <x:c r="J24" s="7" t="str">
        <x:v>Complete without facilitator; SEQ ≥5/7</x:v>
      </x:c>
      <x:c r="K24" s="7" t="str">
        <x:v>Not Tested</x:v>
      </x:c>
      <x:c r="L24" s="7" t="str"/>
      <x:c r="M24" s="7" t="str"/>
      <x:c r="N24" s="7" t="str"/>
      <x:c r="O24" s="7" t="str"/>
      <x:c r="P24" s="7" t="str"/>
      <x:c r="Q24" s="7" t="str"/>
      <x:c r="R24" s="7" t="str"/>
      <x:c r="S24" s="7" t="str"/>
      <x:c r="T24" s="7" t="str">
        <x:v>R01,R02</x:v>
      </x:c>
      <x:c r="U24" s="7"/>
      <x:c r="V24" s="48"/>
    </x:row>
    <x:row r="25">
      <x:c r="A25" s="7" t="str">
        <x:v>UX-080</x:v>
      </x:c>
      <x:c r="B25" s="7" t="str">
        <x:v>Editor</x:v>
      </x:c>
      <x:c r="C25" s="7" t="str">
        <x:v>Responsive Preview</x:v>
      </x:c>
      <x:c r="D25" s="7" t="str">
        <x:v>Switch desktop/mobile preview</x:v>
      </x:c>
      <x:c r="E25" s="7" t="str">
        <x:v>Breakpoint preview should be fast, clearly labeled and mirror published layout.</x:v>
      </x:c>
      <x:c r="F25" s="7" t="str">
        <x:v>Desktop/mobile switch exists.</x:v>
      </x:c>
      <x:c r="G25" s="7" t="str">
        <x:v>Partial</x:v>
      </x:c>
      <x:c r="H25" s="7" t="str">
        <x:v>Add tablet breakpoint and width indicator if Designer needs responsive fine-tuning.</x:v>
      </x:c>
      <x:c r="I25" s="7" t="str">
        <x:v>P1</x:v>
      </x:c>
      <x:c r="J25" s="7" t="str">
        <x:v>Complete without facilitator; SEQ ≥5/7</x:v>
      </x:c>
      <x:c r="K25" s="7" t="str">
        <x:v>Not Tested</x:v>
      </x:c>
      <x:c r="L25" s="7" t="str"/>
      <x:c r="M25" s="7" t="str"/>
      <x:c r="N25" s="7" t="str"/>
      <x:c r="O25" s="7" t="str"/>
      <x:c r="P25" s="7" t="str"/>
      <x:c r="Q25" s="7" t="str"/>
      <x:c r="R25" s="7" t="str"/>
      <x:c r="S25" s="7" t="str"/>
      <x:c r="T25" s="7" t="str">
        <x:v>R01</x:v>
      </x:c>
      <x:c r="U25" s="7"/>
      <x:c r="V25" s="48"/>
    </x:row>
    <x:row r="26">
      <x:c r="A26" s="7" t="str">
        <x:v>UX-081</x:v>
      </x:c>
      <x:c r="B26" s="7" t="str">
        <x:v>Editor</x:v>
      </x:c>
      <x:c r="C26" s="7" t="str">
        <x:v>Undo / Redo</x:v>
      </x:c>
      <x:c r="D26" s="7" t="str">
        <x:v>Recover from accidental edits immediately</x:v>
      </x:c>
      <x:c r="E26" s="7" t="str">
        <x:v>Professional visual editors should offer undo/redo for frequent low-risk recovery.</x:v>
      </x:c>
      <x:c r="F26" s="7" t="str">
        <x:v>No global undo/redo stack is evident.</x:v>
      </x:c>
      <x:c r="G26" s="7" t="str">
        <x:v>Gap</x:v>
      </x:c>
      <x:c r="H26" s="7" t="str">
        <x:v>Implement history stack with Undo/Redo keyboard shortcuts.</x:v>
      </x:c>
      <x:c r="I26" s="7" t="str">
        <x:v>P0</x:v>
      </x:c>
      <x:c r="J26" s="7" t="str">
        <x:v>Complete without facilitator; SEQ ≥5/7</x:v>
      </x:c>
      <x:c r="K26" s="7" t="str">
        <x:v>Not Tested</x:v>
      </x:c>
      <x:c r="L26" s="7" t="str"/>
      <x:c r="M26" s="7" t="str"/>
      <x:c r="N26" s="7" t="str"/>
      <x:c r="O26" s="7" t="str"/>
      <x:c r="P26" s="7" t="str"/>
      <x:c r="Q26" s="7" t="str"/>
      <x:c r="R26" s="7" t="str"/>
      <x:c r="S26" s="7" t="str"/>
      <x:c r="T26" s="7" t="str">
        <x:v>R01</x:v>
      </x:c>
      <x:c r="U26" s="7"/>
      <x:c r="V26" s="48"/>
    </x:row>
    <x:row r="27">
      <x:c r="A27" s="7" t="str">
        <x:v>UX-082</x:v>
      </x:c>
      <x:c r="B27" s="7" t="str">
        <x:v>Editor</x:v>
      </x:c>
      <x:c r="C27" s="7" t="str">
        <x:v>Autosave</x:v>
      </x:c>
      <x:c r="D27" s="7" t="str">
        <x:v>Protect long editing sessions</x:v>
      </x:c>
      <x:c r="E27" s="7" t="str">
        <x:v>Changes should autosave safely and show last-saved state.</x:v>
      </x:c>
      <x:c r="F27" s="7" t="str">
        <x:v>Manual save plus leave prompt exists; no periodic autosave.</x:v>
      </x:c>
      <x:c r="G27" s="7" t="str">
        <x:v>Gap</x:v>
      </x:c>
      <x:c r="H27" s="7" t="str">
        <x:v>Add server-backed autosave draft and last-saved timestamp.</x:v>
      </x:c>
      <x:c r="I27" s="7" t="str">
        <x:v>P0</x:v>
      </x:c>
      <x:c r="J27" s="7" t="str">
        <x:v>Complete without facilitator; SEQ ≥5/7</x:v>
      </x:c>
      <x:c r="K27" s="7" t="str">
        <x:v>Not Tested</x:v>
      </x:c>
      <x:c r="L27" s="7" t="str"/>
      <x:c r="M27" s="7" t="str"/>
      <x:c r="N27" s="7" t="str"/>
      <x:c r="O27" s="7" t="str"/>
      <x:c r="P27" s="7" t="str"/>
      <x:c r="Q27" s="7" t="str"/>
      <x:c r="R27" s="7" t="str"/>
      <x:c r="S27" s="7" t="str"/>
      <x:c r="T27" s="7" t="str">
        <x:v>R14,R01</x:v>
      </x:c>
      <x:c r="U27" s="7"/>
      <x:c r="V27" s="48"/>
    </x:row>
    <x:row r="28">
      <x:c r="A28" s="7" t="str">
        <x:v>UX-083</x:v>
      </x:c>
      <x:c r="B28" s="7" t="str">
        <x:v>Editor</x:v>
      </x:c>
      <x:c r="C28" s="7" t="str">
        <x:v>Version History</x:v>
      </x:c>
      <x:c r="D28" s="7" t="str">
        <x:v>Restore prior design revision</x:v>
      </x:c>
      <x:c r="E28" s="7" t="str">
        <x:v>Designer should be able to compare/restore revisions after client changes or mistakes.</x:v>
      </x:c>
      <x:c r="F28" s="7" t="str">
        <x:v>No site/template revision history is evident.</x:v>
      </x:c>
      <x:c r="G28" s="7" t="str">
        <x:v>Gap</x:v>
      </x:c>
      <x:c r="H28" s="7" t="str">
        <x:v>Add revisions for template/site canvas_json and restore workflow.</x:v>
      </x:c>
      <x:c r="I28" s="7" t="str">
        <x:v>P1</x:v>
      </x:c>
      <x:c r="J28" s="7" t="str">
        <x:v>Complete without facilitator; SEQ ≥5/7</x:v>
      </x:c>
      <x:c r="K28" s="7" t="str">
        <x:v>Not Tested</x:v>
      </x:c>
      <x:c r="L28" s="7" t="str"/>
      <x:c r="M28" s="7" t="str"/>
      <x:c r="N28" s="7" t="str"/>
      <x:c r="O28" s="7" t="str"/>
      <x:c r="P28" s="7" t="str"/>
      <x:c r="Q28" s="7" t="str"/>
      <x:c r="R28" s="7" t="str"/>
      <x:c r="S28" s="7" t="str"/>
      <x:c r="T28" s="7" t="str">
        <x:v>R13,R01</x:v>
      </x:c>
      <x:c r="U28" s="7"/>
      <x:c r="V28" s="48"/>
    </x:row>
    <x:row r="29">
      <x:c r="A29" s="7" t="str">
        <x:v>UX-084</x:v>
      </x:c>
      <x:c r="B29" s="7" t="str">
        <x:v>Editor</x:v>
      </x:c>
      <x:c r="C29" s="7" t="str">
        <x:v>Concurrent Editing</x:v>
      </x:c>
      <x:c r="D29" s="7" t="str">
        <x:v>Avoid overwriting another designer/admin session</x:v>
      </x:c>
      <x:c r="E29" s="7" t="str">
        <x:v>If multiple operators can edit same project, system should warn/lock or merge safely.</x:v>
      </x:c>
      <x:c r="F29" s="7" t="str">
        <x:v>No edit locking/collision UI is evident.</x:v>
      </x:c>
      <x:c r="G29" s="7" t="str">
        <x:v>Gap</x:v>
      </x:c>
      <x:c r="H29" s="7" t="str">
        <x:v>Add edit presence/lock or optimistic version check before save.</x:v>
      </x:c>
      <x:c r="I29" s="7" t="str">
        <x:v>P1</x:v>
      </x:c>
      <x:c r="J29" s="7" t="str">
        <x:v>Complete without facilitator; SEQ ≥5/7</x:v>
      </x:c>
      <x:c r="K29" s="7" t="str">
        <x:v>Not Tested</x:v>
      </x:c>
      <x:c r="L29" s="7" t="str"/>
      <x:c r="M29" s="7" t="str"/>
      <x:c r="N29" s="7" t="str"/>
      <x:c r="O29" s="7" t="str"/>
      <x:c r="P29" s="7" t="str"/>
      <x:c r="Q29" s="7" t="str"/>
      <x:c r="R29" s="7" t="str"/>
      <x:c r="S29" s="7" t="str"/>
      <x:c r="T29" s="7" t="str">
        <x:v>R01,R14</x:v>
      </x:c>
      <x:c r="U29" s="7"/>
      <x:c r="V29" s="48"/>
    </x:row>
    <x:row r="30">
      <x:c r="A30" s="7" t="str">
        <x:v>UX-085</x:v>
      </x:c>
      <x:c r="B30" s="7" t="str">
        <x:v>Editor</x:v>
      </x:c>
      <x:c r="C30" s="7" t="str">
        <x:v>Save State</x:v>
      </x:c>
      <x:c r="D30" s="7" t="str">
        <x:v>Know Draft/Pending/Published context</x:v>
      </x:c>
      <x:c r="E30" s="7" t="str">
        <x:v>Status should always be visible and save action should use state-specific language.</x:v>
      </x:c>
      <x:c r="F30" s="7" t="str">
        <x:v>Template workspace says Save Template Draft; approval status exists elsewhere.</x:v>
      </x:c>
      <x:c r="G30" s="7" t="str">
        <x:v>Partial</x:v>
      </x:c>
      <x:c r="H30" s="7" t="str">
        <x:v>Display status chip in editor header and direct Submit for Approval action.</x:v>
      </x:c>
      <x:c r="I30" s="7" t="str">
        <x:v>P1</x:v>
      </x:c>
      <x:c r="J30" s="7" t="str">
        <x:v>Complete without facilitator; SEQ ≥5/7</x:v>
      </x:c>
      <x:c r="K30" s="7" t="str">
        <x:v>Not Tested</x:v>
      </x:c>
      <x:c r="L30" s="7" t="str"/>
      <x:c r="M30" s="7" t="str"/>
      <x:c r="N30" s="7" t="str"/>
      <x:c r="O30" s="7" t="str"/>
      <x:c r="P30" s="7" t="str"/>
      <x:c r="Q30" s="7" t="str"/>
      <x:c r="R30" s="7" t="str"/>
      <x:c r="S30" s="7" t="str"/>
      <x:c r="T30" s="7" t="str">
        <x:v>R01</x:v>
      </x:c>
      <x:c r="U30" s="7"/>
      <x:c r="V30" s="48"/>
    </x:row>
    <x:row r="31">
      <x:c r="A31" s="7" t="str">
        <x:v>UX-086</x:v>
      </x:c>
      <x:c r="B31" s="7" t="str">
        <x:v>Editor</x:v>
      </x:c>
      <x:c r="C31" s="7" t="str">
        <x:v>Media Upload</x:v>
      </x:c>
      <x:c r="D31" s="7" t="str">
        <x:v>Upload image/video/background safely</x:v>
      </x:c>
      <x:c r="E31" s="7" t="str">
        <x:v>Upload should validate type/size, show progress and actionable error state.</x:v>
      </x:c>
      <x:c r="F31" s="7" t="str">
        <x:v>Backend MIME limits were hardened; client file limits exist.</x:v>
      </x:c>
      <x:c r="G31" s="7" t="str">
        <x:v>Partial</x:v>
      </x:c>
      <x:c r="H31" s="7" t="str">
        <x:v>Add progress, retry and file detail before upload completion.</x:v>
      </x:c>
      <x:c r="I31" s="7" t="str">
        <x:v>P1</x:v>
      </x:c>
      <x:c r="J31" s="7" t="str">
        <x:v>Complete without facilitator; SEQ ≥5/7</x:v>
      </x:c>
      <x:c r="K31" s="7" t="str">
        <x:v>Not Tested</x:v>
      </x:c>
      <x:c r="L31" s="7" t="str"/>
      <x:c r="M31" s="7" t="str"/>
      <x:c r="N31" s="7" t="str"/>
      <x:c r="O31" s="7" t="str"/>
      <x:c r="P31" s="7" t="str"/>
      <x:c r="Q31" s="7" t="str"/>
      <x:c r="R31" s="7" t="str"/>
      <x:c r="S31" s="7" t="str"/>
      <x:c r="T31" s="7" t="str">
        <x:v>R01</x:v>
      </x:c>
      <x:c r="U31" s="7"/>
      <x:c r="V31" s="48"/>
    </x:row>
    <x:row r="32">
      <x:c r="A32" s="7" t="str">
        <x:v>UX-087</x:v>
      </x:c>
      <x:c r="B32" s="7" t="str">
        <x:v>Editor</x:v>
      </x:c>
      <x:c r="C32" s="7" t="str">
        <x:v>Background Effects</x:v>
      </x:c>
      <x:c r="D32" s="7" t="str">
        <x:v>Configure motion without making site uncomfortable</x:v>
      </x:c>
      <x:c r="E32" s="7" t="str">
        <x:v>Motion presets should preview clearly and support reduced-motion fallback.</x:v>
      </x:c>
      <x:c r="F32" s="7" t="str">
        <x:v>Zoom/Pan/Ken Burns and similar effects exist.</x:v>
      </x:c>
      <x:c r="G32" s="7" t="str">
        <x:v>Partial</x:v>
      </x:c>
      <x:c r="H32" s="7" t="str">
        <x:v>Add reduced-motion preview and intensity controls.</x:v>
      </x:c>
      <x:c r="I32" s="7" t="str">
        <x:v>P1</x:v>
      </x:c>
      <x:c r="J32" s="7" t="str">
        <x:v>Complete without facilitator; SEQ ≥5/7</x:v>
      </x:c>
      <x:c r="K32" s="7" t="str">
        <x:v>Not Tested</x:v>
      </x:c>
      <x:c r="L32" s="7" t="str"/>
      <x:c r="M32" s="7" t="str"/>
      <x:c r="N32" s="7" t="str"/>
      <x:c r="O32" s="7" t="str"/>
      <x:c r="P32" s="7" t="str"/>
      <x:c r="Q32" s="7" t="str"/>
      <x:c r="R32" s="7" t="str"/>
      <x:c r="S32" s="7" t="str"/>
      <x:c r="T32" s="7" t="str">
        <x:v>R03</x:v>
      </x:c>
      <x:c r="U32" s="7"/>
      <x:c r="V32" s="48"/>
    </x:row>
    <x:row r="33">
      <x:c r="A33" s="7" t="str">
        <x:v>UX-088</x:v>
      </x:c>
      <x:c r="B33" s="7" t="str">
        <x:v>Editor</x:v>
      </x:c>
      <x:c r="C33" s="7" t="str">
        <x:v>Buka Undangan</x:v>
      </x:c>
      <x:c r="D33" s="7" t="str">
        <x:v>Maintain first-Canvas-only rule</x:v>
      </x:c>
      <x:c r="E33" s="7" t="str">
        <x:v>Invalid placement should be prevented with explanation.</x:v>
      </x:c>
      <x:c r="F33" s="7" t="str">
        <x:v>Feature is constrained to first Canvas.</x:v>
      </x:c>
      <x:c r="G33" s="7" t="str">
        <x:v>Meets</x:v>
      </x:c>
      <x:c r="H33" s="7" t="str">
        <x:v>Show rule explanation in disabled state rather than silent failure.</x:v>
      </x:c>
      <x:c r="I33" s="7" t="str">
        <x:v>P1</x:v>
      </x:c>
      <x:c r="J33" s="7" t="str">
        <x:v>Complete without facilitator; SEQ ≥5/7</x:v>
      </x:c>
      <x:c r="K33" s="7" t="str">
        <x:v>Not Tested</x:v>
      </x:c>
      <x:c r="L33" s="7" t="str"/>
      <x:c r="M33" s="7" t="str"/>
      <x:c r="N33" s="7" t="str"/>
      <x:c r="O33" s="7" t="str"/>
      <x:c r="P33" s="7" t="str"/>
      <x:c r="Q33" s="7" t="str"/>
      <x:c r="R33" s="7" t="str"/>
      <x:c r="S33" s="7" t="str"/>
      <x:c r="T33" s="7" t="str">
        <x:v>R01</x:v>
      </x:c>
      <x:c r="U33" s="7"/>
      <x:c r="V33" s="48"/>
    </x:row>
    <x:row r="34">
      <x:c r="A34" s="7" t="str">
        <x:v>UX-089</x:v>
      </x:c>
      <x:c r="B34" s="7" t="str">
        <x:v>Editor</x:v>
      </x:c>
      <x:c r="C34" s="7" t="str">
        <x:v>Gallery</x:v>
      </x:c>
      <x:c r="D34" s="7" t="str">
        <x:v>Curate images efficiently</x:v>
      </x:c>
      <x:c r="E34" s="7" t="str">
        <x:v>Designer needs batch upload, reorder, delete, preview and consistent crop/aspect controls.</x:v>
      </x:c>
      <x:c r="F34" s="7" t="str">
        <x:v>Multi-upload/delete/full-width/carousel are present.</x:v>
      </x:c>
      <x:c r="G34" s="7" t="str">
        <x:v>Partial</x:v>
      </x:c>
      <x:c r="H34" s="7" t="str">
        <x:v>Add drag reorder + crop/aspect focal point per image.</x:v>
      </x:c>
      <x:c r="I34" s="7" t="str">
        <x:v>P1</x:v>
      </x:c>
      <x:c r="J34" s="7" t="str">
        <x:v>Complete without facilitator; SEQ ≥5/7</x:v>
      </x:c>
      <x:c r="K34" s="7" t="str">
        <x:v>Not Tested</x:v>
      </x:c>
      <x:c r="L34" s="7" t="str"/>
      <x:c r="M34" s="7" t="str"/>
      <x:c r="N34" s="7" t="str"/>
      <x:c r="O34" s="7" t="str"/>
      <x:c r="P34" s="7" t="str"/>
      <x:c r="Q34" s="7" t="str"/>
      <x:c r="R34" s="7" t="str"/>
      <x:c r="S34" s="7" t="str"/>
      <x:c r="T34" s="7" t="str">
        <x:v>R01</x:v>
      </x:c>
      <x:c r="U34" s="7"/>
      <x:c r="V34" s="48"/>
    </x:row>
    <x:row r="35">
      <x:c r="A35" s="7" t="str">
        <x:v>UX-090</x:v>
      </x:c>
      <x:c r="B35" s="7" t="str">
        <x:v>Editor</x:v>
      </x:c>
      <x:c r="C35" s="7" t="str">
        <x:v>Sound</x:v>
      </x:c>
      <x:c r="D35" s="7" t="str">
        <x:v>Curate site sound</x:v>
      </x:c>
      <x:c r="E35" s="7" t="str">
        <x:v>Designer should preview catalog/upload, identify duration and remove sound quickly.</x:v>
      </x:c>
      <x:c r="F35" s="7" t="str">
        <x:v>Sound library and upload/preset selection exist.</x:v>
      </x:c>
      <x:c r="G35" s="7" t="str">
        <x:v>Partial</x:v>
      </x:c>
      <x:c r="H35" s="7" t="str">
        <x:v>Show duration/file metadata, currently-playing state across selection changes.</x:v>
      </x:c>
      <x:c r="I35" s="7" t="str">
        <x:v>P1</x:v>
      </x:c>
      <x:c r="J35" s="7" t="str">
        <x:v>Complete without facilitator; SEQ ≥5/7</x:v>
      </x:c>
      <x:c r="K35" s="7" t="str">
        <x:v>Not Tested</x:v>
      </x:c>
      <x:c r="L35" s="7" t="str"/>
      <x:c r="M35" s="7" t="str"/>
      <x:c r="N35" s="7" t="str"/>
      <x:c r="O35" s="7" t="str"/>
      <x:c r="P35" s="7" t="str"/>
      <x:c r="Q35" s="7" t="str"/>
      <x:c r="R35" s="7" t="str"/>
      <x:c r="S35" s="7" t="str"/>
      <x:c r="T35" s="7" t="str">
        <x:v>R01</x:v>
      </x:c>
      <x:c r="U35" s="7"/>
      <x:c r="V35" s="48"/>
    </x:row>
    <x:row r="36">
      <x:c r="A36" s="7" t="str">
        <x:v>UX-091</x:v>
      </x:c>
      <x:c r="B36" s="7" t="str">
        <x:v>Content</x:v>
      </x:c>
      <x:c r="C36" s="7" t="str">
        <x:v>Article CMS</x:v>
      </x:c>
      <x:c r="D36" s="7" t="str">
        <x:v>Create/edit article if role permits</x:v>
      </x:c>
      <x:c r="E36" s="7" t="str">
        <x:v>Authoring role should have explicit content scope, drafts and safe publishing.</x:v>
      </x:c>
      <x:c r="F36" s="7" t="str">
        <x:v>Editor system role currently has articles.manage.</x:v>
      </x:c>
      <x:c r="G36" s="7" t="str">
        <x:v>Partial</x:v>
      </x:c>
      <x:c r="H36" s="7" t="str">
        <x:v>Confirm whether Web Designer truly needs Article CMS; remove permission if not part of job.</x:v>
      </x:c>
      <x:c r="I36" s="7" t="str">
        <x:v>P1</x:v>
      </x:c>
      <x:c r="J36" s="7" t="str">
        <x:v>Complete without facilitator; SEQ ≥5/7</x:v>
      </x:c>
      <x:c r="K36" s="7" t="str">
        <x:v>Not Tested</x:v>
      </x:c>
      <x:c r="L36" s="7" t="str"/>
      <x:c r="M36" s="7" t="str"/>
      <x:c r="N36" s="7" t="str"/>
      <x:c r="O36" s="7" t="str"/>
      <x:c r="P36" s="7" t="str"/>
      <x:c r="Q36" s="7" t="str"/>
      <x:c r="R36" s="7" t="str"/>
      <x:c r="S36" s="7" t="str"/>
      <x:c r="T36" s="7" t="str">
        <x:v>R15,R16</x:v>
      </x:c>
      <x:c r="U36" s="7"/>
      <x:c r="V36" s="48"/>
    </x:row>
    <x:row r="37">
      <x:c r="A37" s="7" t="str">
        <x:v>UX-092</x:v>
      </x:c>
      <x:c r="B37" s="7" t="str">
        <x:v>Content</x:v>
      </x:c>
      <x:c r="C37" s="7" t="str">
        <x:v>Article Revisions</x:v>
      </x:c>
      <x:c r="D37" s="7" t="str">
        <x:v>Recover article edits</x:v>
      </x:c>
      <x:c r="E37" s="7" t="str">
        <x:v>Rich content editing should autosave/revise content.</x:v>
      </x:c>
      <x:c r="F37" s="7" t="str">
        <x:v>Article editor supports Draft/Publish but no revision history/autosave.</x:v>
      </x:c>
      <x:c r="G37" s="7" t="str">
        <x:v>Gap</x:v>
      </x:c>
      <x:c r="H37" s="7" t="str">
        <x:v>Add autosave + revisions or restrict article publishing to dedicated content role.</x:v>
      </x:c>
      <x:c r="I37" s="7" t="str">
        <x:v>P1</x:v>
      </x:c>
      <x:c r="J37" s="7" t="str">
        <x:v>Complete without facilitator; SEQ ≥5/7</x:v>
      </x:c>
      <x:c r="K37" s="7" t="str">
        <x:v>Not Tested</x:v>
      </x:c>
      <x:c r="L37" s="7" t="str"/>
      <x:c r="M37" s="7" t="str"/>
      <x:c r="N37" s="7" t="str"/>
      <x:c r="O37" s="7" t="str"/>
      <x:c r="P37" s="7" t="str"/>
      <x:c r="Q37" s="7" t="str"/>
      <x:c r="R37" s="7" t="str"/>
      <x:c r="S37" s="7" t="str"/>
      <x:c r="T37" s="7" t="str">
        <x:v>R13,R14</x:v>
      </x:c>
      <x:c r="U37" s="7"/>
      <x:c r="V37" s="48"/>
    </x:row>
    <x:row r="38">
      <x:c r="A38" s="7" t="str">
        <x:v>UX-093</x:v>
      </x:c>
      <x:c r="B38" s="7" t="str">
        <x:v>Tasks</x:v>
      </x:c>
      <x:c r="C38" s="7" t="str">
        <x:v>My Tasks</x:v>
      </x:c>
      <x:c r="D38" s="7" t="str">
        <x:v>See order/build tasks assigned to self</x:v>
      </x:c>
      <x:c r="E38" s="7" t="str">
        <x:v>Task list should default to own actionable work, expose priority/status and support quick updates.</x:v>
      </x:c>
      <x:c r="F38" s="7" t="str">
        <x:v>Backend scopes tasks to assigned user/role; task board shows priority/status.</x:v>
      </x:c>
      <x:c r="G38" s="7" t="str">
        <x:v>Meets</x:v>
      </x:c>
      <x:c r="H38" s="7" t="str">
        <x:v>Add due date, sort and search for scale.</x:v>
      </x:c>
      <x:c r="I38" s="7" t="str">
        <x:v>P1</x:v>
      </x:c>
      <x:c r="J38" s="7" t="str">
        <x:v>Complete without facilitator; SEQ ≥5/7</x:v>
      </x:c>
      <x:c r="K38" s="7" t="str">
        <x:v>Not Tested</x:v>
      </x:c>
      <x:c r="L38" s="7" t="str"/>
      <x:c r="M38" s="7" t="str"/>
      <x:c r="N38" s="7" t="str"/>
      <x:c r="O38" s="7" t="str"/>
      <x:c r="P38" s="7" t="str"/>
      <x:c r="Q38" s="7" t="str"/>
      <x:c r="R38" s="7" t="str"/>
      <x:c r="S38" s="7" t="str"/>
      <x:c r="T38" s="7" t="str">
        <x:v>R01</x:v>
      </x:c>
      <x:c r="U38" s="7"/>
      <x:c r="V38" s="48"/>
    </x:row>
    <x:row r="39">
      <x:c r="A39" s="7" t="str">
        <x:v>UX-094</x:v>
      </x:c>
      <x:c r="B39" s="7" t="str">
        <x:v>Tasks</x:v>
      </x:c>
      <x:c r="C39" s="7" t="str">
        <x:v>Task Status</x:v>
      </x:c>
      <x:c r="D39" s="7" t="str">
        <x:v>Update Open → In Progress → Waiting Customer → Done</x:v>
      </x:c>
      <x:c r="E39" s="7" t="str">
        <x:v>State choices should map to actual operational workflow and require reason where useful.</x:v>
      </x:c>
      <x:c r="F39" s="7" t="str">
        <x:v>Task status selector supports these states plus Cancelled.</x:v>
      </x:c>
      <x:c r="G39" s="7" t="str">
        <x:v>Partial</x:v>
      </x:c>
      <x:c r="H39" s="7" t="str">
        <x:v>Add activity history, comments and required note for Cancelled/Waiting Customer.</x:v>
      </x:c>
      <x:c r="I39" s="7" t="str">
        <x:v>P1</x:v>
      </x:c>
      <x:c r="J39" s="7" t="str">
        <x:v>Complete without facilitator; SEQ ≥5/7</x:v>
      </x:c>
      <x:c r="K39" s="7" t="str">
        <x:v>Not Tested</x:v>
      </x:c>
      <x:c r="L39" s="7" t="str"/>
      <x:c r="M39" s="7" t="str"/>
      <x:c r="N39" s="7" t="str"/>
      <x:c r="O39" s="7" t="str"/>
      <x:c r="P39" s="7" t="str"/>
      <x:c r="Q39" s="7" t="str"/>
      <x:c r="R39" s="7" t="str"/>
      <x:c r="S39" s="7" t="str"/>
      <x:c r="T39" s="7" t="str">
        <x:v>R01</x:v>
      </x:c>
      <x:c r="U39" s="7"/>
      <x:c r="V39" s="48"/>
    </x:row>
    <x:row r="40">
      <x:c r="A40" s="7" t="str">
        <x:v>UX-095</x:v>
      </x:c>
      <x:c r="B40" s="7" t="str">
        <x:v>Messaging</x:v>
      </x:c>
      <x:c r="C40" s="7" t="str">
        <x:v>Outbound</x:v>
      </x:c>
      <x:c r="D40" s="7" t="str">
        <x:v>Message assigned Customer</x:v>
      </x:c>
      <x:c r="E40" s="7" t="str">
        <x:v>Designer messaging should be contextual to project/customer and respect role scope.</x:v>
      </x:c>
      <x:c r="F40" s="7" t="str">
        <x:v>Editor has conversations.outbound and can message users.</x:v>
      </x:c>
      <x:c r="G40" s="7" t="str">
        <x:v>Partial</x:v>
      </x:c>
      <x:c r="H40" s="7" t="str">
        <x:v>Launch message from Client/Task context and constrain recipients to assigned clients unless business needs broader access.</x:v>
      </x:c>
      <x:c r="I40" s="7" t="str">
        <x:v>P1</x:v>
      </x:c>
      <x:c r="J40" s="7" t="str">
        <x:v>Complete without facilitator; SEQ ≥5/7</x:v>
      </x:c>
      <x:c r="K40" s="7" t="str">
        <x:v>Not Tested</x:v>
      </x:c>
      <x:c r="L40" s="7" t="str"/>
      <x:c r="M40" s="7" t="str"/>
      <x:c r="N40" s="7" t="str"/>
      <x:c r="O40" s="7" t="str"/>
      <x:c r="P40" s="7" t="str"/>
      <x:c r="Q40" s="7" t="str"/>
      <x:c r="R40" s="7" t="str"/>
      <x:c r="S40" s="7" t="str"/>
      <x:c r="T40" s="7" t="str">
        <x:v>R15,R16</x:v>
      </x:c>
      <x:c r="U40" s="7"/>
      <x:c r="V40" s="48"/>
    </x:row>
    <x:row r="41">
      <x:c r="A41" s="7" t="str">
        <x:v>UX-096</x:v>
      </x:c>
      <x:c r="B41" s="7" t="str">
        <x:v>Messaging</x:v>
      </x:c>
      <x:c r="C41" s="7" t="str">
        <x:v>Support Inbox</x:v>
      </x:c>
      <x:c r="D41" s="7" t="str">
        <x:v>Decide whether full support inbox is useful for Designer</x:v>
      </x:c>
      <x:c r="E41" s="7" t="str">
        <x:v>Role should only expose tools needed for design workflow; unnecessary support queues increase complexity and access.</x:v>
      </x:c>
      <x:c r="F41" s="7" t="str">
        <x:v>Editor currently has conversations.view/reply and dashboard quick action opens support inbox.</x:v>
      </x:c>
      <x:c r="G41" s="7" t="str">
        <x:v>Gap</x:v>
      </x:c>
      <x:c r="H41" s="7" t="str">
        <x:v>Default Web Designer to project conversations/assigned customers, not the full CS inbox; make broader support permission optional.</x:v>
      </x:c>
      <x:c r="I41" s="7" t="str">
        <x:v>P1</x:v>
      </x:c>
      <x:c r="J41" s="7" t="str">
        <x:v>Complete without facilitator; SEQ ≥5/7</x:v>
      </x:c>
      <x:c r="K41" s="7" t="str">
        <x:v>Not Tested</x:v>
      </x:c>
      <x:c r="L41" s="7" t="str"/>
      <x:c r="M41" s="7" t="str"/>
      <x:c r="N41" s="7" t="str"/>
      <x:c r="O41" s="7" t="str"/>
      <x:c r="P41" s="7" t="str"/>
      <x:c r="Q41" s="7" t="str"/>
      <x:c r="R41" s="7" t="str"/>
      <x:c r="S41" s="7" t="str"/>
      <x:c r="T41" s="7" t="str">
        <x:v>R15,R16,R01</x:v>
      </x:c>
      <x:c r="U41" s="7"/>
      <x:c r="V41" s="48"/>
    </x:row>
    <x:row r="42">
      <x:c r="A42" s="7" t="str">
        <x:v>UX-097</x:v>
      </x:c>
      <x:c r="B42" s="7" t="str">
        <x:v>Notifications</x:v>
      </x:c>
      <x:c r="C42" s="7" t="str">
        <x:v>Alerts</x:v>
      </x:c>
      <x:c r="D42" s="7" t="str">
        <x:v>Notice new task/rejection/customer reply without distraction</x:v>
      </x:c>
      <x:c r="E42" s="7" t="str">
        <x:v>Notifications should be actionable, configurable and linked to the item.</x:v>
      </x:c>
      <x:c r="F42" s="7" t="str">
        <x:v>Sound notification exists with mute preference.</x:v>
      </x:c>
      <x:c r="G42" s="7" t="str">
        <x:v>Partial</x:v>
      </x:c>
      <x:c r="H42" s="7" t="str">
        <x:v>Add visual notification center/unread badge and deep link; keep sound optional.</x:v>
      </x:c>
      <x:c r="I42" s="7" t="str">
        <x:v>P1</x:v>
      </x:c>
      <x:c r="J42" s="7" t="str">
        <x:v>Complete without facilitator; SEQ ≥5/7</x:v>
      </x:c>
      <x:c r="K42" s="7" t="str">
        <x:v>Not Tested</x:v>
      </x:c>
      <x:c r="L42" s="7" t="str"/>
      <x:c r="M42" s="7" t="str"/>
      <x:c r="N42" s="7" t="str"/>
      <x:c r="O42" s="7" t="str"/>
      <x:c r="P42" s="7" t="str"/>
      <x:c r="Q42" s="7" t="str"/>
      <x:c r="R42" s="7" t="str"/>
      <x:c r="S42" s="7" t="str"/>
      <x:c r="T42" s="7" t="str">
        <x:v>R01</x:v>
      </x:c>
      <x:c r="U42" s="7"/>
      <x:c r="V42" s="48"/>
    </x:row>
    <x:row r="43">
      <x:c r="A43" s="7" t="str">
        <x:v>UX-098</x:v>
      </x:c>
      <x:c r="B43" s="7" t="str">
        <x:v>Accessibility</x:v>
      </x:c>
      <x:c r="C43" s="7" t="str">
        <x:v>Keyboard</x:v>
      </x:c>
      <x:c r="D43" s="7" t="str">
        <x:v>Complete core editor tasks without mouse-only dependency</x:v>
      </x:c>
      <x:c r="E43" s="7" t="str">
        <x:v>Keyboard must reach controls; drag operations need alternatives; focus should not disappear in complex editor.</x:v>
      </x:c>
      <x:c r="F43" s="7" t="str">
        <x:v>Move buttons and click-to-add help, but full editor keyboard/focus audit is not established.</x:v>
      </x:c>
      <x:c r="G43" s="7" t="str">
        <x:v>Needs User Test</x:v>
      </x:c>
      <x:c r="H43" s="7" t="str">
        <x:v>Keyboard-only: select Canvas → add feature → edit → preview → save.</x:v>
      </x:c>
      <x:c r="I43" s="7" t="str">
        <x:v>P0</x:v>
      </x:c>
      <x:c r="J43" s="7" t="str">
        <x:v>Complete without facilitator; SEQ ≥5/7</x:v>
      </x:c>
      <x:c r="K43" s="7" t="str">
        <x:v>Not Tested</x:v>
      </x:c>
      <x:c r="L43" s="7" t="str"/>
      <x:c r="M43" s="7" t="str"/>
      <x:c r="N43" s="7" t="str"/>
      <x:c r="O43" s="7" t="str"/>
      <x:c r="P43" s="7" t="str"/>
      <x:c r="Q43" s="7" t="str"/>
      <x:c r="R43" s="7" t="str"/>
      <x:c r="S43" s="7" t="str"/>
      <x:c r="T43" s="7" t="str">
        <x:v>R03,R04,R05</x:v>
      </x:c>
      <x:c r="U43" s="7"/>
      <x:c r="V43" s="48"/>
    </x:row>
    <x:row r="44">
      <x:c r="V44" s="50"/>
    </x:row>
    <x:row r="45">
      <x:c r="V45" s="50"/>
    </x:row>
    <x:row r="46">
      <x:c r="V46" s="50"/>
    </x:row>
    <x:row r="47">
      <x:c r="V47" s="50"/>
    </x:row>
    <x:row r="48">
      <x:c r="V48" s="50"/>
    </x:row>
    <x:row r="49">
      <x:c r="V49" s="50"/>
    </x:row>
    <x:row r="50">
      <x:c r="V50" s="50"/>
    </x:row>
    <x:row r="51">
      <x:c r="V51" s="50"/>
    </x:row>
    <x:row r="52">
      <x:c r="V52" s="50"/>
    </x:row>
    <x:row r="53">
      <x:c r="V53" s="50"/>
    </x:row>
    <x:row r="54">
      <x:c r="V54" s="50"/>
    </x:row>
    <x:row r="55">
      <x:c r="V55" s="50"/>
    </x:row>
    <x:row r="56">
      <x:c r="V56" s="50"/>
    </x:row>
    <x:row r="57">
      <x:c r="V57" s="50"/>
    </x:row>
    <x:row r="58">
      <x:c r="V58" s="50"/>
    </x:row>
    <x:row r="59">
      <x:c r="V59" s="50"/>
    </x:row>
    <x:row r="60">
      <x:c r="V60" s="50"/>
    </x:row>
    <x:row r="61">
      <x:c r="V61" s="50"/>
    </x:row>
    <x:row r="62">
      <x:c r="V62" s="50"/>
    </x:row>
    <x:row r="63">
      <x:c r="V63" s="50"/>
    </x:row>
    <x:row r="64">
      <x:c r="V64" s="50"/>
    </x:row>
    <x:row r="65">
      <x:c r="V65" s="50"/>
    </x:row>
    <x:row r="66">
      <x:c r="V66" s="50"/>
    </x:row>
    <x:row r="67">
      <x:c r="V67" s="50"/>
    </x:row>
    <x:row r="68">
      <x:c r="V68" s="50"/>
    </x:row>
    <x:row r="69">
      <x:c r="V69" s="50"/>
    </x:row>
    <x:row r="70">
      <x:c r="V70" s="50"/>
    </x:row>
    <x:row r="71">
      <x:c r="V71" s="50"/>
    </x:row>
    <x:row r="72">
      <x:c r="V72" s="50"/>
    </x:row>
    <x:row r="73">
      <x:c r="V73" s="50"/>
    </x:row>
    <x:row r="74">
      <x:c r="V74" s="50"/>
    </x:row>
    <x:row r="75">
      <x:c r="V75" s="50"/>
    </x:row>
    <x:row r="76">
      <x:c r="V76" s="50"/>
    </x:row>
    <x:row r="77">
      <x:c r="V77" s="50"/>
    </x:row>
    <x:row r="78">
      <x:c r="V78" s="50"/>
    </x:row>
    <x:row r="79">
      <x:c r="V79" s="50"/>
    </x:row>
    <x:row r="80">
      <x:c r="V80" s="50"/>
    </x:row>
    <x:row r="81">
      <x:c r="V81" s="50"/>
    </x:row>
    <x:row r="82">
      <x:c r="V82" s="50"/>
    </x:row>
    <x:row r="83">
      <x:c r="V83" s="50"/>
    </x:row>
    <x:row r="84">
      <x:c r="V84" s="50"/>
    </x:row>
    <x:row r="85">
      <x:c r="V85" s="50"/>
    </x:row>
    <x:row r="86">
      <x:c r="V86" s="50"/>
    </x:row>
    <x:row r="87">
      <x:c r="V87" s="50"/>
    </x:row>
    <x:row r="88">
      <x:c r="V88" s="50"/>
    </x:row>
    <x:row r="89">
      <x:c r="V89" s="50"/>
    </x:row>
    <x:row r="90">
      <x:c r="V90" s="50"/>
    </x:row>
    <x:row r="91">
      <x:c r="V91" s="50"/>
    </x:row>
    <x:row r="92">
      <x:c r="V92" s="50"/>
    </x:row>
    <x:row r="93">
      <x:c r="V93" s="50"/>
    </x:row>
    <x:row r="94">
      <x:c r="V94" s="50"/>
    </x:row>
    <x:row r="95">
      <x:c r="V95" s="50"/>
    </x:row>
    <x:row r="96">
      <x:c r="V96" s="50"/>
    </x:row>
    <x:row r="97">
      <x:c r="V97" s="50"/>
    </x:row>
    <x:row r="98">
      <x:c r="V98" s="50"/>
    </x:row>
    <x:row r="99">
      <x:c r="V99" s="50"/>
    </x:row>
    <x:row r="100">
      <x:c r="V100" s="50"/>
    </x:row>
    <x:row r="101">
      <x:c r="V101" s="50"/>
    </x:row>
    <x:row r="102">
      <x:c r="V102" s="50"/>
    </x:row>
    <x:row r="103">
      <x:c r="V103" s="50"/>
    </x:row>
    <x:row r="104">
      <x:c r="V104" s="50"/>
    </x:row>
    <x:row r="105">
      <x:c r="V105" s="50"/>
    </x:row>
    <x:row r="106">
      <x:c r="V106" s="50"/>
    </x:row>
    <x:row r="107">
      <x:c r="V107" s="50"/>
    </x:row>
    <x:row r="108">
      <x:c r="V108" s="50"/>
    </x:row>
    <x:row r="109">
      <x:c r="V109" s="50"/>
    </x:row>
    <x:row r="110">
      <x:c r="V110" s="50"/>
    </x:row>
    <x:row r="111">
      <x:c r="V111" s="50"/>
    </x:row>
    <x:row r="112">
      <x:c r="V112" s="50"/>
    </x:row>
    <x:row r="113">
      <x:c r="V113" s="50"/>
    </x:row>
    <x:row r="114">
      <x:c r="V114" s="50"/>
    </x:row>
    <x:row r="115">
      <x:c r="V115" s="50"/>
    </x:row>
    <x:row r="116">
      <x:c r="V116" s="50"/>
    </x:row>
    <x:row r="117">
      <x:c r="V117" s="50"/>
    </x:row>
    <x:row r="118">
      <x:c r="V118" s="50"/>
    </x:row>
    <x:row r="119">
      <x:c r="V119" s="50"/>
    </x:row>
    <x:row r="120">
      <x:c r="V120" s="50"/>
    </x:row>
    <x:row r="121">
      <x:c r="V121" s="50"/>
    </x:row>
    <x:row r="122">
      <x:c r="V122" s="50"/>
    </x:row>
    <x:row r="123">
      <x:c r="V123" s="50"/>
    </x:row>
    <x:row r="124">
      <x:c r="V124" s="50"/>
    </x:row>
    <x:row r="125">
      <x:c r="V125" s="50"/>
    </x:row>
    <x:row r="126">
      <x:c r="V126" s="50"/>
    </x:row>
    <x:row r="127">
      <x:c r="V127" s="50"/>
    </x:row>
    <x:row r="128">
      <x:c r="V128" s="50"/>
    </x:row>
    <x:row r="129">
      <x:c r="V129" s="50"/>
    </x:row>
    <x:row r="130">
      <x:c r="V130" s="50"/>
    </x:row>
    <x:row r="131">
      <x:c r="V131" s="50"/>
    </x:row>
    <x:row r="132">
      <x:c r="V132" s="50"/>
    </x:row>
    <x:row r="133">
      <x:c r="V133" s="50"/>
    </x:row>
    <x:row r="134">
      <x:c r="V134" s="50"/>
    </x:row>
    <x:row r="135">
      <x:c r="V135" s="50"/>
    </x:row>
    <x:row r="136">
      <x:c r="V136" s="50"/>
    </x:row>
    <x:row r="137">
      <x:c r="V137" s="50"/>
    </x:row>
    <x:row r="138">
      <x:c r="V138" s="50"/>
    </x:row>
    <x:row r="139">
      <x:c r="V139" s="50"/>
    </x:row>
    <x:row r="140">
      <x:c r="V140" s="50"/>
    </x:row>
    <x:row r="141">
      <x:c r="V141" s="50"/>
    </x:row>
    <x:row r="142">
      <x:c r="V142" s="50"/>
    </x:row>
    <x:row r="143">
      <x:c r="V143" s="50"/>
    </x:row>
    <x:row r="144">
      <x:c r="V144" s="50"/>
    </x:row>
    <x:row r="145">
      <x:c r="V145" s="50"/>
    </x:row>
    <x:row r="146">
      <x:c r="V146" s="50"/>
    </x:row>
    <x:row r="147">
      <x:c r="V147" s="50"/>
    </x:row>
    <x:row r="148">
      <x:c r="V148" s="50"/>
    </x:row>
    <x:row r="149">
      <x:c r="V149" s="50"/>
    </x:row>
    <x:row r="150">
      <x:c r="V150" s="50"/>
    </x:row>
    <x:row r="151">
      <x:c r="V151" s="50"/>
    </x:row>
    <x:row r="152">
      <x:c r="V152" s="50"/>
    </x:row>
    <x:row r="153">
      <x:c r="V153" s="50"/>
    </x:row>
    <x:row r="154">
      <x:c r="V154" s="50"/>
    </x:row>
    <x:row r="155">
      <x:c r="V155" s="50"/>
    </x:row>
    <x:row r="156">
      <x:c r="V156" s="50"/>
    </x:row>
    <x:row r="157">
      <x:c r="V157" s="50"/>
    </x:row>
    <x:row r="158">
      <x:c r="V158" s="50"/>
    </x:row>
    <x:row r="159">
      <x:c r="V159" s="50"/>
    </x:row>
    <x:row r="160">
      <x:c r="V160" s="50"/>
    </x:row>
    <x:row r="161">
      <x:c r="V161" s="50"/>
    </x:row>
    <x:row r="162">
      <x:c r="V162" s="50"/>
    </x:row>
    <x:row r="163">
      <x:c r="V163" s="50"/>
    </x:row>
    <x:row r="164">
      <x:c r="V164" s="50"/>
    </x:row>
    <x:row r="165">
      <x:c r="V165" s="50"/>
    </x:row>
    <x:row r="166">
      <x:c r="V166" s="50"/>
    </x:row>
    <x:row r="167">
      <x:c r="V167" s="50"/>
    </x:row>
    <x:row r="168">
      <x:c r="V168" s="50"/>
    </x:row>
    <x:row r="169">
      <x:c r="V169" s="50"/>
    </x:row>
    <x:row r="170">
      <x:c r="V170" s="50"/>
    </x:row>
    <x:row r="171">
      <x:c r="V171" s="50"/>
    </x:row>
    <x:row r="172">
      <x:c r="V172" s="50"/>
    </x:row>
    <x:row r="173">
      <x:c r="V173" s="50"/>
    </x:row>
    <x:row r="174">
      <x:c r="V174" s="50"/>
    </x:row>
    <x:row r="175">
      <x:c r="V175" s="50"/>
    </x:row>
    <x:row r="176">
      <x:c r="V176" s="50"/>
    </x:row>
    <x:row r="177">
      <x:c r="V177" s="50"/>
    </x:row>
    <x:row r="178">
      <x:c r="V178" s="50"/>
    </x:row>
    <x:row r="179">
      <x:c r="V179" s="50"/>
    </x:row>
    <x:row r="180">
      <x:c r="V180" s="50"/>
    </x:row>
    <x:row r="181">
      <x:c r="V181" s="50"/>
    </x:row>
    <x:row r="182">
      <x:c r="V182" s="50"/>
    </x:row>
    <x:row r="183">
      <x:c r="V183" s="50"/>
    </x:row>
    <x:row r="184">
      <x:c r="V184" s="50"/>
    </x:row>
    <x:row r="185">
      <x:c r="V185" s="50"/>
    </x:row>
    <x:row r="186">
      <x:c r="V186" s="50"/>
    </x:row>
    <x:row r="187">
      <x:c r="V187" s="50"/>
    </x:row>
    <x:row r="188">
      <x:c r="V188" s="50"/>
    </x:row>
    <x:row r="189">
      <x:c r="V189" s="50"/>
    </x:row>
    <x:row r="190">
      <x:c r="V190" s="50"/>
    </x:row>
    <x:row r="191">
      <x:c r="V191" s="50"/>
    </x:row>
    <x:row r="192">
      <x:c r="V192" s="50"/>
    </x:row>
    <x:row r="193">
      <x:c r="V193" s="50"/>
    </x:row>
    <x:row r="194">
      <x:c r="V194" s="50"/>
    </x:row>
    <x:row r="195">
      <x:c r="V195" s="50"/>
    </x:row>
    <x:row r="196">
      <x:c r="V196" s="50"/>
    </x:row>
    <x:row r="197">
      <x:c r="V197" s="50"/>
    </x:row>
    <x:row r="198">
      <x:c r="V198" s="50"/>
    </x:row>
    <x:row r="199">
      <x:c r="V199" s="50"/>
    </x:row>
    <x:row r="200">
      <x:c r="V200" s="50"/>
    </x:row>
  </x:sheetData>
  <x:mergeCells>
    <x:mergeCell ref="A1:T1"/>
    <x:mergeCell ref="D3:H7"/>
  </x:mergeCells>
  <x:conditionalFormatting sqref="G10:G43">
    <x:cfRule type="expression" dxfId="18" priority="1">
      <x:formula>G10="Meets"</x:formula>
    </x:cfRule>
    <x:cfRule type="expression" dxfId="19" priority="2">
      <x:formula>G10="Partial"</x:formula>
    </x:cfRule>
    <x:cfRule type="expression" dxfId="20" priority="3">
      <x:formula>G10="Gap"</x:formula>
    </x:cfRule>
    <x:cfRule type="expression" dxfId="21" priority="4">
      <x:formula>G10="Needs User Test"</x:formula>
    </x:cfRule>
  </x:conditionalFormatting>
  <x:conditionalFormatting sqref="K10:K43">
    <x:cfRule type="expression" dxfId="22" priority="5">
      <x:formula>K10="Pass"</x:formula>
    </x:cfRule>
    <x:cfRule type="expression" dxfId="23" priority="6">
      <x:formula>K10="Fail"</x:formula>
    </x:cfRule>
  </x:conditionalFormatting>
  <x:dataValidations count="7">
    <x:dataValidation type="list" sqref="G10:G43">
      <x:formula1>"Meets,Partial,Gap,Needs User Test"</x:formula1>
    </x:dataValidation>
    <x:dataValidation type="list" sqref="I10:I43">
      <x:formula1>"P0,P1,P2"</x:formula1>
    </x:dataValidation>
    <x:dataValidation type="list" sqref="K10:K43">
      <x:formula1>"Not Tested,Pass,Fail,Blocked"</x:formula1>
    </x:dataValidation>
    <x:dataValidation type="list" sqref="L10:L43">
      <x:formula1>"Yes,No,N/A"</x:formula1>
    </x:dataValidation>
    <x:dataValidation type="list" sqref="O10:O43">
      <x:formula1>"None,Hint,Direct"</x:formula1>
    </x:dataValidation>
    <x:dataValidation type="list" sqref="P10:P43">
      <x:formula1>"1,2,3,4,5,6,7"</x:formula1>
    </x:dataValidation>
    <x:dataValidation type="list" sqref="Q10:Q43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c6fef13ab94e8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22" hidden="0" customWidth="1"/>
    <x:col min="4" max="4" width="40" hidden="0" customWidth="1"/>
    <x:col min="5" max="5" width="50" hidden="0" customWidth="1"/>
    <x:col min="6" max="6" width="50" hidden="0" customWidth="1"/>
    <x:col min="7" max="7" width="18" hidden="0" customWidth="1"/>
    <x:col min="8" max="8" width="50" hidden="0" customWidth="1"/>
    <x:col min="9" max="9" width="10" hidden="0" customWidth="1"/>
    <x:col min="10" max="10" width="34" hidden="0" customWidth="1"/>
    <x:col min="11" max="11" width="14" hidden="0" customWidth="1"/>
    <x:col min="12" max="12" width="13" hidden="0" customWidth="1"/>
    <x:col min="13" max="13" width="12" hidden="0" customWidth="1"/>
    <x:col min="14" max="14" width="10" hidden="0" customWidth="1"/>
    <x:col min="15" max="15" width="12" hidden="0" customWidth="1"/>
    <x:col min="16" max="16" width="11" hidden="0" customWidth="1"/>
    <x:col min="17" max="17" width="15" hidden="0" customWidth="1"/>
    <x:col min="18" max="18" width="48" hidden="0" customWidth="1"/>
    <x:col min="19" max="19" width="14" hidden="0" customWidth="1"/>
    <x:col min="20" max="20" width="16" hidden="0" customWidth="1"/>
    <x:col min="21" max="21" width="36" hidden="0" customWidth="1"/>
    <x:col min="22" max="22" width="14" hidden="0" customWidth="1"/>
  </x:cols>
  <x:sheetData>
    <x:row r="1" ht="28" customHeight="1">
      <x:c r="A1" s="14" t="str">
        <x:v>Administrator — UX QA Form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</x:row>
    <x:row r="3">
      <x:c r="A3" s="22" t="str">
        <x:v>Role Definition</x:v>
      </x:c>
      <x:c r="B3" s="7" t="str">
        <x:v>Platform operator / governance</x:v>
      </x:c>
      <x:c r="D3" s="27" t="str">
        <x:v>Moderator instruction: berikan task, bukan langkah. Jangan mengajari tester sebelum task selesai. Catat apakah task selesai tanpa bantuan, waktu, error, bantuan yang dibutuhkan, SEQ (1=sangat sulit, 7=sangat mudah), dan confidence (1=tidak yakin, 5=sangat yakin). Functional Pass tidak otomatis berarti UX nyaman.</x:v>
      </x:c>
      <x:c r="E3" s="27"/>
      <x:c r="F3" s="27"/>
      <x:c r="G3" s="27"/>
      <x:c r="H3" s="27"/>
    </x:row>
    <x:row r="4">
      <x:c r="A4" s="22" t="str">
        <x:v>Critical Journey</x:v>
      </x:c>
      <x:c r="B4" s="7" t="str">
        <x:v>Overview → Exceptions → Users/Roles → Approval → Orders/Payments → Content → CS Oversight</x:v>
      </x:c>
      <x:c r="D4" s="27"/>
      <x:c r="E4" s="27"/>
      <x:c r="F4" s="27"/>
      <x:c r="G4" s="27"/>
      <x:c r="H4" s="27"/>
    </x:row>
    <x:row r="5">
      <x:c r="A5" s="22" t="str">
        <x:v>Tester Name</x:v>
      </x:c>
      <x:c r="B5" s="7" t="str"/>
      <x:c r="D5" s="27"/>
      <x:c r="E5" s="27"/>
      <x:c r="F5" s="27"/>
      <x:c r="G5" s="27"/>
      <x:c r="H5" s="27"/>
    </x:row>
    <x:row r="6">
      <x:c r="A6" s="22" t="str">
        <x:v>Device / Browser</x:v>
      </x:c>
      <x:c r="B6" s="7" t="str"/>
      <x:c r="D6" s="27"/>
      <x:c r="E6" s="27"/>
      <x:c r="F6" s="27"/>
      <x:c r="G6" s="27"/>
      <x:c r="H6" s="27"/>
    </x:row>
    <x:row r="7">
      <x:c r="A7" s="22" t="str">
        <x:v>Build / Date</x:v>
      </x:c>
      <x:c r="B7" s="7" t="str">
        <x:v>v0.13 / </x:v>
      </x:c>
      <x:c r="D7" s="27"/>
      <x:c r="E7" s="27"/>
      <x:c r="F7" s="27"/>
      <x:c r="G7" s="27"/>
      <x:c r="H7" s="27"/>
    </x:row>
    <x:row r="9">
      <x:c r="A9" s="6" t="str">
        <x:v>QA ID</x:v>
      </x:c>
      <x:c r="B9" s="6" t="str">
        <x:v>Stage</x:v>
      </x:c>
      <x:c r="C9" s="6" t="str">
        <x:v>Feature</x:v>
      </x:c>
      <x:c r="D9" s="6" t="str">
        <x:v>Task / Scenario</x:v>
      </x:c>
      <x:c r="E9" s="6" t="str">
        <x:v>Expected UX</x:v>
      </x:c>
      <x:c r="F9" s="6" t="str">
        <x:v>Current v0.13</x:v>
      </x:c>
      <x:c r="G9" s="6" t="str">
        <x:v>Pre-Audit</x:v>
      </x:c>
      <x:c r="H9" s="6" t="str">
        <x:v>Recommendation</x:v>
      </x:c>
      <x:c r="I9" s="6" t="str">
        <x:v>Priority</x:v>
      </x:c>
      <x:c r="J9" s="6" t="str">
        <x:v>Target</x:v>
      </x:c>
      <x:c r="K9" s="6" t="str">
        <x:v>Tester Result</x:v>
      </x:c>
      <x:c r="L9" s="6" t="str">
        <x:v>Task Success</x:v>
      </x:c>
      <x:c r="M9" s="6" t="str">
        <x:v>Time sec</x:v>
      </x:c>
      <x:c r="N9" s="6" t="str">
        <x:v>Errors</x:v>
      </x:c>
      <x:c r="O9" s="6" t="str">
        <x:v>Assistance</x:v>
      </x:c>
      <x:c r="P9" s="6" t="str">
        <x:v>SEQ 1-7</x:v>
      </x:c>
      <x:c r="Q9" s="6" t="str">
        <x:v>Confidence 1-5</x:v>
      </x:c>
      <x:c r="R9" s="6" t="str">
        <x:v>Actual Observation</x:v>
      </x:c>
      <x:c r="S9" s="6" t="str">
        <x:v>Defect ID</x:v>
      </x:c>
      <x:c r="T9" s="6" t="str">
        <x:v>Source IDs</x:v>
      </x:c>
      <x:c r="U9" s="3" t="str">
        <x:v>Tester Notes</x:v>
      </x:c>
      <x:c r="V9" s="3" t="str">
        <x:v>Test Date</x:v>
      </x:c>
    </x:row>
    <x:row r="10">
      <x:c r="A10" s="7" t="str">
        <x:v>UX-099</x:v>
      </x:c>
      <x:c r="B10" s="7" t="str">
        <x:v>Identity</x:v>
      </x:c>
      <x:c r="C10" s="7" t="str">
        <x:v>Role Language</x:v>
      </x:c>
      <x:c r="D10" s="7" t="str">
        <x:v>See Administrator terminology instead of technical Superadmin labels</x:v>
      </x:c>
      <x:c r="E10" s="7" t="str">
        <x:v>Operational naming should match organization terminology; elevated privileges can remain an internal implementation detail.</x:v>
      </x:c>
      <x:c r="F10" s="7" t="str">
        <x:v>UI uses Admin, Platform Admin and SUPERADMIN interchangeably.</x:v>
      </x:c>
      <x:c r="G10" s="7" t="str">
        <x:v>Gap</x:v>
      </x:c>
      <x:c r="H10" s="7" t="str">
        <x:v>Standardize visible role as Administrator; reserve 'Superadmin' only for permission tier if truly required.</x:v>
      </x:c>
      <x:c r="I10" s="7" t="str">
        <x:v>P0</x:v>
      </x:c>
      <x:c r="J10" s="7" t="str">
        <x:v>Complete without facilitator; SEQ ≥5/7</x:v>
      </x:c>
      <x:c r="K10" s="7" t="str">
        <x:v>Not Tested</x:v>
      </x:c>
      <x:c r="L10" s="7" t="str"/>
      <x:c r="M10" s="7" t="str"/>
      <x:c r="N10" s="7" t="str"/>
      <x:c r="O10" s="7" t="str"/>
      <x:c r="P10" s="7" t="str"/>
      <x:c r="Q10" s="7" t="str"/>
      <x:c r="R10" s="7" t="str"/>
      <x:c r="S10" s="7" t="str"/>
      <x:c r="T10" s="7" t="str">
        <x:v>R01</x:v>
      </x:c>
      <x:c r="U10" s="7"/>
      <x:c r="V10" s="48"/>
    </x:row>
    <x:row r="11">
      <x:c r="A11" s="7" t="str">
        <x:v>UX-100</x:v>
      </x:c>
      <x:c r="B11" s="7" t="str">
        <x:v>Dashboard</x:v>
      </x:c>
      <x:c r="C11" s="7" t="str">
        <x:v>Overview</x:v>
      </x:c>
      <x:c r="D11" s="7" t="str">
        <x:v>Identify the most urgent operational items</x:v>
      </x:c>
      <x:c r="E11" s="7" t="str">
        <x:v>Admin overview should prioritize exceptions: pending approvals, failed payments/emails, open tasks, support backlog, revenue anomalies.</x:v>
      </x:c>
      <x:c r="F11" s="7" t="str">
        <x:v>Overview has accounts/templates/articles/revenue and action cards for approvals/payment/articles/orders/CS.</x:v>
      </x:c>
      <x:c r="G11" s="7" t="str">
        <x:v>Partial</x:v>
      </x:c>
      <x:c r="H11" s="7" t="str">
        <x:v>Add exception-oriented alerts and failed email/payment/system health rather than only aggregate counts.</x:v>
      </x:c>
      <x:c r="I11" s="7" t="str">
        <x:v>P1</x:v>
      </x:c>
      <x:c r="J11" s="7" t="str">
        <x:v>Complete without facilitator; SEQ ≥5/7</x:v>
      </x:c>
      <x:c r="K11" s="7" t="str">
        <x:v>Not Tested</x:v>
      </x:c>
      <x:c r="L11" s="7" t="str"/>
      <x:c r="M11" s="7" t="str"/>
      <x:c r="N11" s="7" t="str"/>
      <x:c r="O11" s="7" t="str"/>
      <x:c r="P11" s="7" t="str"/>
      <x:c r="Q11" s="7" t="str"/>
      <x:c r="R11" s="7" t="str"/>
      <x:c r="S11" s="7" t="str"/>
      <x:c r="T11" s="7" t="str">
        <x:v>R01</x:v>
      </x:c>
      <x:c r="U11" s="7"/>
      <x:c r="V11" s="48"/>
    </x:row>
    <x:row r="12">
      <x:c r="A12" s="7" t="str">
        <x:v>UX-101</x:v>
      </x:c>
      <x:c r="B12" s="7" t="str">
        <x:v>Dashboard</x:v>
      </x:c>
      <x:c r="C12" s="7" t="str">
        <x:v>Drilldown</x:v>
      </x:c>
      <x:c r="D12" s="7" t="str">
        <x:v>Click metrics to reach underlying records</x:v>
      </x:c>
      <x:c r="E12" s="7" t="str">
        <x:v>Dashboard metrics should lead directly to filtered data used to calculate them.</x:v>
      </x:c>
      <x:c r="F12" s="7" t="str">
        <x:v>Action cards drill to several modules; top stat cards are not clearly interactive.</x:v>
      </x:c>
      <x:c r="G12" s="7" t="str">
        <x:v>Partial</x:v>
      </x:c>
      <x:c r="H12" s="7" t="str">
        <x:v>Make all meaningful KPIs clickable with applied filter/time window.</x:v>
      </x:c>
      <x:c r="I12" s="7" t="str">
        <x:v>P1</x:v>
      </x:c>
      <x:c r="J12" s="7" t="str">
        <x:v>Complete without facilitator; SEQ ≥5/7</x:v>
      </x:c>
      <x:c r="K12" s="7" t="str">
        <x:v>Not Tested</x:v>
      </x:c>
      <x:c r="L12" s="7" t="str"/>
      <x:c r="M12" s="7" t="str"/>
      <x:c r="N12" s="7" t="str"/>
      <x:c r="O12" s="7" t="str"/>
      <x:c r="P12" s="7" t="str"/>
      <x:c r="Q12" s="7" t="str"/>
      <x:c r="R12" s="7" t="str"/>
      <x:c r="S12" s="7" t="str"/>
      <x:c r="T12" s="7" t="str">
        <x:v>R01</x:v>
      </x:c>
      <x:c r="U12" s="7"/>
      <x:c r="V12" s="48"/>
    </x:row>
    <x:row r="13">
      <x:c r="A13" s="7" t="str">
        <x:v>UX-102</x:v>
      </x:c>
      <x:c r="B13" s="7" t="str">
        <x:v>Accounts</x:v>
      </x:c>
      <x:c r="C13" s="7" t="str">
        <x:v>Create Account</x:v>
      </x:c>
      <x:c r="D13" s="7" t="str">
        <x:v>Create Customer/Web Designer/CS/Admin account safely</x:v>
      </x:c>
      <x:c r="E13" s="7" t="str">
        <x:v>Role choice, password policy, verification/activation state and duplicate errors should be explicit.</x:v>
      </x:c>
      <x:c r="F13" s="7" t="str">
        <x:v>Account creation modal supports role, username, email, password.</x:v>
      </x:c>
      <x:c r="G13" s="7" t="str">
        <x:v>Partial</x:v>
      </x:c>
      <x:c r="H13" s="7" t="str">
        <x:v>Remove default password value, show password requirements, clarify whether admin-created Customer bypasses email verification.</x:v>
      </x:c>
      <x:c r="I13" s="7" t="str">
        <x:v>P0</x:v>
      </x:c>
      <x:c r="J13" s="7" t="str">
        <x:v>Complete without facilitator; SEQ ≥5/7</x:v>
      </x:c>
      <x:c r="K13" s="7" t="str">
        <x:v>Not Tested</x:v>
      </x:c>
      <x:c r="L13" s="7" t="str"/>
      <x:c r="M13" s="7" t="str"/>
      <x:c r="N13" s="7" t="str"/>
      <x:c r="O13" s="7" t="str"/>
      <x:c r="P13" s="7" t="str"/>
      <x:c r="Q13" s="7" t="str"/>
      <x:c r="R13" s="7" t="str"/>
      <x:c r="S13" s="7" t="str"/>
      <x:c r="T13" s="7" t="str">
        <x:v>R01,R03</x:v>
      </x:c>
      <x:c r="U13" s="7"/>
      <x:c r="V13" s="48"/>
    </x:row>
    <x:row r="14">
      <x:c r="A14" s="7" t="str">
        <x:v>UX-103</x:v>
      </x:c>
      <x:c r="B14" s="7" t="str">
        <x:v>Accounts</x:v>
      </x:c>
      <x:c r="C14" s="7" t="str">
        <x:v>Search</x:v>
      </x:c>
      <x:c r="D14" s="7" t="str">
        <x:v>Find account by name/email/username</x:v>
      </x:c>
      <x:c r="E14" s="7" t="str">
        <x:v>Directory search should be immediate and preserve context.</x:v>
      </x:c>
      <x:c r="F14" s="7" t="str">
        <x:v>Account directory search is implemented.</x:v>
      </x:c>
      <x:c r="G14" s="7" t="str">
        <x:v>Meets</x:v>
      </x:c>
      <x:c r="H14" s="7" t="str">
        <x:v>Add role/status filters at larger scale.</x:v>
      </x:c>
      <x:c r="I14" s="7" t="str">
        <x:v>P1</x:v>
      </x:c>
      <x:c r="J14" s="7" t="str">
        <x:v>Complete without facilitator; SEQ ≥5/7</x:v>
      </x:c>
      <x:c r="K14" s="7" t="str">
        <x:v>Not Tested</x:v>
      </x:c>
      <x:c r="L14" s="7" t="str"/>
      <x:c r="M14" s="7" t="str"/>
      <x:c r="N14" s="7" t="str"/>
      <x:c r="O14" s="7" t="str"/>
      <x:c r="P14" s="7" t="str"/>
      <x:c r="Q14" s="7" t="str"/>
      <x:c r="R14" s="7" t="str"/>
      <x:c r="S14" s="7" t="str"/>
      <x:c r="T14" s="7" t="str">
        <x:v>R01</x:v>
      </x:c>
      <x:c r="U14" s="7"/>
      <x:c r="V14" s="48"/>
    </x:row>
    <x:row r="15">
      <x:c r="A15" s="7" t="str">
        <x:v>UX-104</x:v>
      </x:c>
      <x:c r="B15" s="7" t="str">
        <x:v>Roles</x:v>
      </x:c>
      <x:c r="C15" s="7" t="str">
        <x:v>Role Creation</x:v>
      </x:c>
      <x:c r="D15" s="7" t="str">
        <x:v>Create custom role with only required permissions</x:v>
      </x:c>
      <x:c r="E15" s="7" t="str">
        <x:v>Permissions should follow least privilege and be understandable as business capabilities.</x:v>
      </x:c>
      <x:c r="F15" s="7" t="str">
        <x:v>Custom role creation and permission checklist exist.</x:v>
      </x:c>
      <x:c r="G15" s="7" t="str">
        <x:v>Partial</x:v>
      </x:c>
      <x:c r="H15" s="7" t="str">
        <x:v>Group permissions by module, add descriptions/risk level and copy-from-role capability.</x:v>
      </x:c>
      <x:c r="I15" s="7" t="str">
        <x:v>P0</x:v>
      </x:c>
      <x:c r="J15" s="7" t="str">
        <x:v>Complete without facilitator; SEQ ≥5/7</x:v>
      </x:c>
      <x:c r="K15" s="7" t="str">
        <x:v>Not Tested</x:v>
      </x:c>
      <x:c r="L15" s="7" t="str"/>
      <x:c r="M15" s="7" t="str"/>
      <x:c r="N15" s="7" t="str"/>
      <x:c r="O15" s="7" t="str"/>
      <x:c r="P15" s="7" t="str"/>
      <x:c r="Q15" s="7" t="str"/>
      <x:c r="R15" s="7" t="str"/>
      <x:c r="S15" s="7" t="str"/>
      <x:c r="T15" s="7" t="str">
        <x:v>R15,R16</x:v>
      </x:c>
      <x:c r="U15" s="7"/>
      <x:c r="V15" s="48"/>
    </x:row>
    <x:row r="16">
      <x:c r="A16" s="7" t="str">
        <x:v>UX-105</x:v>
      </x:c>
      <x:c r="B16" s="7" t="str">
        <x:v>Roles</x:v>
      </x:c>
      <x:c r="C16" s="7" t="str">
        <x:v>System Role Protection</x:v>
      </x:c>
      <x:c r="D16" s="7" t="str">
        <x:v>Avoid deleting protected system roles</x:v>
      </x:c>
      <x:c r="E16" s="7" t="str">
        <x:v>System roles should be clearly marked and non-deletable.</x:v>
      </x:c>
      <x:c r="F16" s="7" t="str">
        <x:v>System roles display shield and cannot be deleted.</x:v>
      </x:c>
      <x:c r="G16" s="7" t="str">
        <x:v>Meets</x:v>
      </x:c>
      <x:c r="H16" s="7" t="str">
        <x:v>Add tooltip explaining why.</x:v>
      </x:c>
      <x:c r="I16" s="7" t="str">
        <x:v>P1</x:v>
      </x:c>
      <x:c r="J16" s="7" t="str">
        <x:v>Complete without facilitator; SEQ ≥5/7</x:v>
      </x:c>
      <x:c r="K16" s="7" t="str">
        <x:v>Not Tested</x:v>
      </x:c>
      <x:c r="L16" s="7" t="str"/>
      <x:c r="M16" s="7" t="str"/>
      <x:c r="N16" s="7" t="str"/>
      <x:c r="O16" s="7" t="str"/>
      <x:c r="P16" s="7" t="str"/>
      <x:c r="Q16" s="7" t="str"/>
      <x:c r="R16" s="7" t="str"/>
      <x:c r="S16" s="7" t="str"/>
      <x:c r="T16" s="7" t="str">
        <x:v>R01,R16</x:v>
      </x:c>
      <x:c r="U16" s="7"/>
      <x:c r="V16" s="48"/>
    </x:row>
    <x:row r="17">
      <x:c r="A17" s="7" t="str">
        <x:v>UX-106</x:v>
      </x:c>
      <x:c r="B17" s="7" t="str">
        <x:v>Roles</x:v>
      </x:c>
      <x:c r="C17" s="7" t="str">
        <x:v>Delete Role</x:v>
      </x:c>
      <x:c r="D17" s="7" t="str">
        <x:v>Delete custom role safely</x:v>
      </x:c>
      <x:c r="E17" s="7" t="str">
        <x:v>Destructive role change should warn about affected users and require confirmation/reassignment.</x:v>
      </x:c>
      <x:c r="F17" s="7" t="str">
        <x:v>Backend prevents deletion when used, but UI delete action appears direct.</x:v>
      </x:c>
      <x:c r="G17" s="7" t="str">
        <x:v>Gap</x:v>
      </x:c>
      <x:c r="H17" s="7" t="str">
        <x:v>Add confirmation dialog showing affected user count and recommended reassignment.</x:v>
      </x:c>
      <x:c r="I17" s="7" t="str">
        <x:v>P0</x:v>
      </x:c>
      <x:c r="J17" s="7" t="str">
        <x:v>Complete without facilitator; SEQ ≥5/7</x:v>
      </x:c>
      <x:c r="K17" s="7" t="str">
        <x:v>Not Tested</x:v>
      </x:c>
      <x:c r="L17" s="7" t="str"/>
      <x:c r="M17" s="7" t="str"/>
      <x:c r="N17" s="7" t="str"/>
      <x:c r="O17" s="7" t="str"/>
      <x:c r="P17" s="7" t="str"/>
      <x:c r="Q17" s="7" t="str"/>
      <x:c r="R17" s="7" t="str"/>
      <x:c r="S17" s="7" t="str"/>
      <x:c r="T17" s="7" t="str">
        <x:v>R01</x:v>
      </x:c>
      <x:c r="U17" s="7"/>
      <x:c r="V17" s="48"/>
    </x:row>
    <x:row r="18">
      <x:c r="A18" s="7" t="str">
        <x:v>UX-107</x:v>
      </x:c>
      <x:c r="B18" s="7" t="str">
        <x:v>Roles</x:v>
      </x:c>
      <x:c r="C18" s="7" t="str">
        <x:v>Audit Trail</x:v>
      </x:c>
      <x:c r="D18" s="7" t="str">
        <x:v>Know who changed permissions and when</x:v>
      </x:c>
      <x:c r="E18" s="7" t="str">
        <x:v>High-impact access changes should be traceable.</x:v>
      </x:c>
      <x:c r="F18" s="7" t="str">
        <x:v>No role/user admin audit-log UI is evident.</x:v>
      </x:c>
      <x:c r="G18" s="7" t="str">
        <x:v>Gap</x:v>
      </x:c>
      <x:c r="H18" s="7" t="str">
        <x:v>Add immutable audit events for account/role/permission/payment/template approval actions.</x:v>
      </x:c>
      <x:c r="I18" s="7" t="str">
        <x:v>P0</x:v>
      </x:c>
      <x:c r="J18" s="7" t="str">
        <x:v>Complete without facilitator; SEQ ≥5/7</x:v>
      </x:c>
      <x:c r="K18" s="7" t="str">
        <x:v>Not Tested</x:v>
      </x:c>
      <x:c r="L18" s="7" t="str"/>
      <x:c r="M18" s="7" t="str"/>
      <x:c r="N18" s="7" t="str"/>
      <x:c r="O18" s="7" t="str"/>
      <x:c r="P18" s="7" t="str"/>
      <x:c r="Q18" s="7" t="str"/>
      <x:c r="R18" s="7" t="str"/>
      <x:c r="S18" s="7" t="str"/>
      <x:c r="T18" s="7" t="str">
        <x:v>R15,R16</x:v>
      </x:c>
      <x:c r="U18" s="7"/>
      <x:c r="V18" s="48"/>
    </x:row>
    <x:row r="19">
      <x:c r="A19" s="7" t="str">
        <x:v>UX-108</x:v>
      </x:c>
      <x:c r="B19" s="7" t="str">
        <x:v>Approvals</x:v>
      </x:c>
      <x:c r="C19" s="7" t="str">
        <x:v>Queue</x:v>
      </x:c>
      <x:c r="D19" s="7" t="str">
        <x:v>See pending template approvals in one place</x:v>
      </x:c>
      <x:c r="E19" s="7" t="str">
        <x:v>Approval queue should show requestor, template, price, submitted time, status and preview.</x:v>
      </x:c>
      <x:c r="F19" s="7" t="str">
        <x:v>Tasks page has dedicated Template Approval section with requestor/price context through template data.</x:v>
      </x:c>
      <x:c r="G19" s="7" t="str">
        <x:v>Partial</x:v>
      </x:c>
      <x:c r="H19" s="7" t="str">
        <x:v>Add actual template preview and sort by submission age.</x:v>
      </x:c>
      <x:c r="I19" s="7" t="str">
        <x:v>P1</x:v>
      </x:c>
      <x:c r="J19" s="7" t="str">
        <x:v>Complete without facilitator; SEQ ≥5/7</x:v>
      </x:c>
      <x:c r="K19" s="7" t="str">
        <x:v>Not Tested</x:v>
      </x:c>
      <x:c r="L19" s="7" t="str"/>
      <x:c r="M19" s="7" t="str"/>
      <x:c r="N19" s="7" t="str"/>
      <x:c r="O19" s="7" t="str"/>
      <x:c r="P19" s="7" t="str"/>
      <x:c r="Q19" s="7" t="str"/>
      <x:c r="R19" s="7" t="str"/>
      <x:c r="S19" s="7" t="str"/>
      <x:c r="T19" s="7" t="str">
        <x:v>R01</x:v>
      </x:c>
      <x:c r="U19" s="7"/>
      <x:c r="V19" s="48"/>
    </x:row>
    <x:row r="20">
      <x:c r="A20" s="7" t="str">
        <x:v>UX-109</x:v>
      </x:c>
      <x:c r="B20" s="7" t="str">
        <x:v>Approvals</x:v>
      </x:c>
      <x:c r="C20" s="7" t="str">
        <x:v>Approve</x:v>
      </x:c>
      <x:c r="D20" s="7" t="str">
        <x:v>Approve &amp; publish intentionally</x:v>
      </x:c>
      <x:c r="E20" s="7" t="str">
        <x:v>High-impact action should show what will become public and provide confirmation where needed.</x:v>
      </x:c>
      <x:c r="F20" s="7" t="str">
        <x:v>Approved &amp; Publish action is available.</x:v>
      </x:c>
      <x:c r="G20" s="7" t="str">
        <x:v>Partial</x:v>
      </x:c>
      <x:c r="H20" s="7" t="str">
        <x:v>Show final preview + price/metadata summary before publish.</x:v>
      </x:c>
      <x:c r="I20" s="7" t="str">
        <x:v>P0</x:v>
      </x:c>
      <x:c r="J20" s="7" t="str">
        <x:v>Complete without facilitator; SEQ ≥5/7</x:v>
      </x:c>
      <x:c r="K20" s="7" t="str">
        <x:v>Not Tested</x:v>
      </x:c>
      <x:c r="L20" s="7" t="str"/>
      <x:c r="M20" s="7" t="str"/>
      <x:c r="N20" s="7" t="str"/>
      <x:c r="O20" s="7" t="str"/>
      <x:c r="P20" s="7" t="str"/>
      <x:c r="Q20" s="7" t="str"/>
      <x:c r="R20" s="7" t="str"/>
      <x:c r="S20" s="7" t="str"/>
      <x:c r="T20" s="7" t="str">
        <x:v>R01</x:v>
      </x:c>
      <x:c r="U20" s="7"/>
      <x:c r="V20" s="48"/>
    </x:row>
    <x:row r="21">
      <x:c r="A21" s="7" t="str">
        <x:v>UX-110</x:v>
      </x:c>
      <x:c r="B21" s="7" t="str">
        <x:v>Approvals</x:v>
      </x:c>
      <x:c r="C21" s="7" t="str">
        <x:v>Reject</x:v>
      </x:c>
      <x:c r="D21" s="7" t="str">
        <x:v>Reject with actionable feedback</x:v>
      </x:c>
      <x:c r="E21" s="7" t="str">
        <x:v>Reject should require/encourage feedback and update requestor status.</x:v>
      </x:c>
      <x:c r="F21" s="7" t="str">
        <x:v>Feedback textarea and Reject action exist; requestor email is queued.</x:v>
      </x:c>
      <x:c r="G21" s="7" t="str">
        <x:v>Meets</x:v>
      </x:c>
      <x:c r="H21" s="7" t="str">
        <x:v>Require feedback for rejection if product policy expects actionable review.</x:v>
      </x:c>
      <x:c r="I21" s="7" t="str">
        <x:v>P1</x:v>
      </x:c>
      <x:c r="J21" s="7" t="str">
        <x:v>Complete without facilitator; SEQ ≥5/7</x:v>
      </x:c>
      <x:c r="K21" s="7" t="str">
        <x:v>Not Tested</x:v>
      </x:c>
      <x:c r="L21" s="7" t="str"/>
      <x:c r="M21" s="7" t="str"/>
      <x:c r="N21" s="7" t="str"/>
      <x:c r="O21" s="7" t="str"/>
      <x:c r="P21" s="7" t="str"/>
      <x:c r="Q21" s="7" t="str"/>
      <x:c r="R21" s="7" t="str"/>
      <x:c r="S21" s="7" t="str"/>
      <x:c r="T21" s="7" t="str">
        <x:v>R01</x:v>
      </x:c>
      <x:c r="U21" s="7"/>
      <x:c r="V21" s="48"/>
    </x:row>
    <x:row r="22">
      <x:c r="A22" s="7" t="str">
        <x:v>UX-111</x:v>
      </x:c>
      <x:c r="B22" s="7" t="str">
        <x:v>Orders</x:v>
      </x:c>
      <x:c r="C22" s="7" t="str">
        <x:v>Analytics</x:v>
      </x:c>
      <x:c r="D22" s="7" t="str">
        <x:v>Monitor checkout qty and paid nominal</x:v>
      </x:c>
      <x:c r="E22" s="7" t="str">
        <x:v>Metrics must be database-backed and show clear time scope.</x:v>
      </x:c>
      <x:c r="F22" s="7" t="str">
        <x:v>Orders &amp; Revenue displays checkout qty, paid nominal, unique customers and paid orders.</x:v>
      </x:c>
      <x:c r="G22" s="7" t="str">
        <x:v>Partial</x:v>
      </x:c>
      <x:c r="H22" s="7" t="str">
        <x:v>Add date range, payment method, template and assignment filters.</x:v>
      </x:c>
      <x:c r="I22" s="7" t="str">
        <x:v>P1</x:v>
      </x:c>
      <x:c r="J22" s="7" t="str">
        <x:v>Complete without facilitator; SEQ ≥5/7</x:v>
      </x:c>
      <x:c r="K22" s="7" t="str">
        <x:v>Not Tested</x:v>
      </x:c>
      <x:c r="L22" s="7" t="str"/>
      <x:c r="M22" s="7" t="str"/>
      <x:c r="N22" s="7" t="str"/>
      <x:c r="O22" s="7" t="str"/>
      <x:c r="P22" s="7" t="str"/>
      <x:c r="Q22" s="7" t="str"/>
      <x:c r="R22" s="7" t="str"/>
      <x:c r="S22" s="7" t="str"/>
      <x:c r="T22" s="7" t="str">
        <x:v>R01</x:v>
      </x:c>
      <x:c r="U22" s="7"/>
      <x:c r="V22" s="48"/>
    </x:row>
    <x:row r="23">
      <x:c r="A23" s="7" t="str">
        <x:v>UX-112</x:v>
      </x:c>
      <x:c r="B23" s="7" t="str">
        <x:v>Orders</x:v>
      </x:c>
      <x:c r="C23" s="7" t="str">
        <x:v>Export</x:v>
      </x:c>
      <x:c r="D23" s="7" t="str">
        <x:v>Export operational data</x:v>
      </x:c>
      <x:c r="E23" s="7" t="str">
        <x:v>CSV/Excel export should match filters and clearly state timestamp/columns.</x:v>
      </x:c>
      <x:c r="F23" s="7" t="str">
        <x:v>CSV and Excel-compatible export actions exist.</x:v>
      </x:c>
      <x:c r="G23" s="7" t="str">
        <x:v>Partial</x:v>
      </x:c>
      <x:c r="H23" s="7" t="str">
        <x:v>Make export honor current filters and use true XLSX for production analytics.</x:v>
      </x:c>
      <x:c r="I23" s="7" t="str">
        <x:v>P1</x:v>
      </x:c>
      <x:c r="J23" s="7" t="str">
        <x:v>Complete without facilitator; SEQ ≥5/7</x:v>
      </x:c>
      <x:c r="K23" s="7" t="str">
        <x:v>Not Tested</x:v>
      </x:c>
      <x:c r="L23" s="7" t="str"/>
      <x:c r="M23" s="7" t="str"/>
      <x:c r="N23" s="7" t="str"/>
      <x:c r="O23" s="7" t="str"/>
      <x:c r="P23" s="7" t="str"/>
      <x:c r="Q23" s="7" t="str"/>
      <x:c r="R23" s="7" t="str"/>
      <x:c r="S23" s="7" t="str"/>
      <x:c r="T23" s="7" t="str">
        <x:v>R01</x:v>
      </x:c>
      <x:c r="U23" s="7"/>
      <x:c r="V23" s="48"/>
    </x:row>
    <x:row r="24">
      <x:c r="A24" s="7" t="str">
        <x:v>UX-113</x:v>
      </x:c>
      <x:c r="B24" s="7" t="str">
        <x:v>Orders</x:v>
      </x:c>
      <x:c r="C24" s="7" t="str">
        <x:v>Order Detail</x:v>
      </x:c>
      <x:c r="D24" s="7" t="str">
        <x:v>Investigate a specific order</x:v>
      </x:c>
      <x:c r="E24" s="7" t="str">
        <x:v>Admin should have a dedicated detail/timeline with payment, receipt, tasks, conversation and assignment.</x:v>
      </x:c>
      <x:c r="F24" s="7" t="str">
        <x:v>Analytics is table-oriented; no rich order detail page is evident.</x:v>
      </x:c>
      <x:c r="G24" s="7" t="str">
        <x:v>Gap</x:v>
      </x:c>
      <x:c r="H24" s="7" t="str">
        <x:v>Add Order Detail timeline linking receipt, CS conversation, CS task and Designer task.</x:v>
      </x:c>
      <x:c r="I24" s="7" t="str">
        <x:v>P1</x:v>
      </x:c>
      <x:c r="J24" s="7" t="str">
        <x:v>Complete without facilitator; SEQ ≥5/7</x:v>
      </x:c>
      <x:c r="K24" s="7" t="str">
        <x:v>Not Tested</x:v>
      </x:c>
      <x:c r="L24" s="7" t="str"/>
      <x:c r="M24" s="7" t="str"/>
      <x:c r="N24" s="7" t="str"/>
      <x:c r="O24" s="7" t="str"/>
      <x:c r="P24" s="7" t="str"/>
      <x:c r="Q24" s="7" t="str"/>
      <x:c r="R24" s="7" t="str"/>
      <x:c r="S24" s="7" t="str"/>
      <x:c r="T24" s="7" t="str">
        <x:v>R01</x:v>
      </x:c>
      <x:c r="U24" s="7"/>
      <x:c r="V24" s="48"/>
    </x:row>
    <x:row r="25">
      <x:c r="A25" s="7" t="str">
        <x:v>UX-114</x:v>
      </x:c>
      <x:c r="B25" s="7" t="str">
        <x:v>Payments</x:v>
      </x:c>
      <x:c r="C25" s="7" t="str">
        <x:v>Payment Methods</x:v>
      </x:c>
      <x:c r="D25" s="7" t="str">
        <x:v>Enable/configure payment methods safely</x:v>
      </x:c>
      <x:c r="E25" s="7" t="str">
        <x:v>Admin should see environment, enabled state, merchant config and validation before saving.</x:v>
      </x:c>
      <x:c r="F25" s="7" t="str">
        <x:v>Payment settings supports enabled toggle, merchant name and instructions.</x:v>
      </x:c>
      <x:c r="G25" s="7" t="str">
        <x:v>Partial</x:v>
      </x:c>
      <x:c r="H25" s="7" t="str">
        <x:v>Add test connection/validation, gateway credential status and separate staging/production configuration.</x:v>
      </x:c>
      <x:c r="I25" s="7" t="str">
        <x:v>P0</x:v>
      </x:c>
      <x:c r="J25" s="7" t="str">
        <x:v>Complete without facilitator; SEQ ≥5/7</x:v>
      </x:c>
      <x:c r="K25" s="7" t="str">
        <x:v>Not Tested</x:v>
      </x:c>
      <x:c r="L25" s="7" t="str"/>
      <x:c r="M25" s="7" t="str"/>
      <x:c r="N25" s="7" t="str"/>
      <x:c r="O25" s="7" t="str"/>
      <x:c r="P25" s="7" t="str"/>
      <x:c r="Q25" s="7" t="str"/>
      <x:c r="R25" s="7" t="str"/>
      <x:c r="S25" s="7" t="str"/>
      <x:c r="T25" s="7" t="str">
        <x:v>R01</x:v>
      </x:c>
      <x:c r="U25" s="7"/>
      <x:c r="V25" s="48"/>
    </x:row>
    <x:row r="26">
      <x:c r="A26" s="7" t="str">
        <x:v>UX-115</x:v>
      </x:c>
      <x:c r="B26" s="7" t="str">
        <x:v>Payments</x:v>
      </x:c>
      <x:c r="C26" s="7" t="str">
        <x:v>Production Safety</x:v>
      </x:c>
      <x:c r="D26" s="7" t="str">
        <x:v>Prevent simulation from being mistaken for real payment</x:v>
      </x:c>
      <x:c r="E26" s="7" t="str">
        <x:v>Staging simulation must be visibly separated from production gateway behavior.</x:v>
      </x:c>
      <x:c r="F26" s="7" t="str">
        <x:v>Backend has PAYMENT_MODE safety guard from v0.12.</x:v>
      </x:c>
      <x:c r="G26" s="7" t="str">
        <x:v>Meets</x:v>
      </x:c>
      <x:c r="H26" s="7" t="str">
        <x:v>Keep simulation controls inaccessible in production and log payment state transitions.</x:v>
      </x:c>
      <x:c r="I26" s="7" t="str">
        <x:v>P0</x:v>
      </x:c>
      <x:c r="J26" s="7" t="str">
        <x:v>Complete without facilitator; SEQ ≥5/7</x:v>
      </x:c>
      <x:c r="K26" s="7" t="str">
        <x:v>Not Tested</x:v>
      </x:c>
      <x:c r="L26" s="7" t="str"/>
      <x:c r="M26" s="7" t="str"/>
      <x:c r="N26" s="7" t="str"/>
      <x:c r="O26" s="7" t="str"/>
      <x:c r="P26" s="7" t="str"/>
      <x:c r="Q26" s="7" t="str"/>
      <x:c r="R26" s="7" t="str"/>
      <x:c r="S26" s="7" t="str"/>
      <x:c r="T26" s="7" t="str">
        <x:v>R01</x:v>
      </x:c>
      <x:c r="U26" s="7"/>
      <x:c r="V26" s="48"/>
    </x:row>
    <x:row r="27">
      <x:c r="A27" s="7" t="str">
        <x:v>UX-116</x:v>
      </x:c>
      <x:c r="B27" s="7" t="str">
        <x:v>Articles</x:v>
      </x:c>
      <x:c r="C27" s="7" t="str">
        <x:v>Article CMS</x:v>
      </x:c>
      <x:c r="D27" s="7" t="str">
        <x:v>Create Draft/Publish article</x:v>
      </x:c>
      <x:c r="E27" s="7" t="str">
        <x:v>Publishing workspace should separate draft from publish and allow preview.</x:v>
      </x:c>
      <x:c r="F27" s="7" t="str">
        <x:v>Full-page Article Editor supports Draft/Publish.</x:v>
      </x:c>
      <x:c r="G27" s="7" t="str">
        <x:v>Partial</x:v>
      </x:c>
      <x:c r="H27" s="7" t="str">
        <x:v>Add actual article preview before publish and publication scheduling if needed.</x:v>
      </x:c>
      <x:c r="I27" s="7" t="str">
        <x:v>P1</x:v>
      </x:c>
      <x:c r="J27" s="7" t="str">
        <x:v>Complete without facilitator; SEQ ≥5/7</x:v>
      </x:c>
      <x:c r="K27" s="7" t="str">
        <x:v>Not Tested</x:v>
      </x:c>
      <x:c r="L27" s="7" t="str"/>
      <x:c r="M27" s="7" t="str"/>
      <x:c r="N27" s="7" t="str"/>
      <x:c r="O27" s="7" t="str"/>
      <x:c r="P27" s="7" t="str"/>
      <x:c r="Q27" s="7" t="str"/>
      <x:c r="R27" s="7" t="str"/>
      <x:c r="S27" s="7" t="str"/>
      <x:c r="T27" s="7" t="str">
        <x:v>R01</x:v>
      </x:c>
      <x:c r="U27" s="7"/>
      <x:c r="V27" s="48"/>
    </x:row>
    <x:row r="28">
      <x:c r="A28" s="7" t="str">
        <x:v>UX-117</x:v>
      </x:c>
      <x:c r="B28" s="7" t="str">
        <x:v>Articles</x:v>
      </x:c>
      <x:c r="C28" s="7" t="str">
        <x:v>Search</x:v>
      </x:c>
      <x:c r="D28" s="7" t="str">
        <x:v>Search article list</x:v>
      </x:c>
      <x:c r="E28" s="7" t="str">
        <x:v>Visible search input must filter list or be removed.</x:v>
      </x:c>
      <x:c r="F28" s="7" t="str">
        <x:v>Article table displays a Search article field without bound state/filter behavior.</x:v>
      </x:c>
      <x:c r="G28" s="7" t="str">
        <x:v>Gap</x:v>
      </x:c>
      <x:c r="H28" s="7" t="str">
        <x:v>Wire search to title/category/tags or remove until implemented.</x:v>
      </x:c>
      <x:c r="I28" s="7" t="str">
        <x:v>P0</x:v>
      </x:c>
      <x:c r="J28" s="7" t="str">
        <x:v>Complete without facilitator; SEQ ≥5/7</x:v>
      </x:c>
      <x:c r="K28" s="7" t="str">
        <x:v>Not Tested</x:v>
      </x:c>
      <x:c r="L28" s="7" t="str"/>
      <x:c r="M28" s="7" t="str"/>
      <x:c r="N28" s="7" t="str"/>
      <x:c r="O28" s="7" t="str"/>
      <x:c r="P28" s="7" t="str"/>
      <x:c r="Q28" s="7" t="str"/>
      <x:c r="R28" s="7" t="str"/>
      <x:c r="S28" s="7" t="str"/>
      <x:c r="T28" s="7" t="str">
        <x:v>R01</x:v>
      </x:c>
      <x:c r="U28" s="7"/>
      <x:c r="V28" s="48"/>
    </x:row>
    <x:row r="29">
      <x:c r="A29" s="7" t="str">
        <x:v>UX-118</x:v>
      </x:c>
      <x:c r="B29" s="7" t="str">
        <x:v>Articles</x:v>
      </x:c>
      <x:c r="C29" s="7" t="str">
        <x:v>Autosave/Revisions</x:v>
      </x:c>
      <x:c r="D29" s="7" t="str">
        <x:v>Recover editorial mistakes</x:v>
      </x:c>
      <x:c r="E29" s="7" t="str">
        <x:v>Content editing should autosave and support revision restore.</x:v>
      </x:c>
      <x:c r="F29" s="7" t="str">
        <x:v>No autosave/revision workflow is evident.</x:v>
      </x:c>
      <x:c r="G29" s="7" t="str">
        <x:v>Gap</x:v>
      </x:c>
      <x:c r="H29" s="7" t="str">
        <x:v>Add autosave + revisions, especially before expanding Article CMS.</x:v>
      </x:c>
      <x:c r="I29" s="7" t="str">
        <x:v>P1</x:v>
      </x:c>
      <x:c r="J29" s="7" t="str">
        <x:v>Complete without facilitator; SEQ ≥5/7</x:v>
      </x:c>
      <x:c r="K29" s="7" t="str">
        <x:v>Not Tested</x:v>
      </x:c>
      <x:c r="L29" s="7" t="str"/>
      <x:c r="M29" s="7" t="str"/>
      <x:c r="N29" s="7" t="str"/>
      <x:c r="O29" s="7" t="str"/>
      <x:c r="P29" s="7" t="str"/>
      <x:c r="Q29" s="7" t="str"/>
      <x:c r="R29" s="7" t="str"/>
      <x:c r="S29" s="7" t="str"/>
      <x:c r="T29" s="7" t="str">
        <x:v>R13,R14</x:v>
      </x:c>
      <x:c r="U29" s="7"/>
      <x:c r="V29" s="48"/>
    </x:row>
    <x:row r="30">
      <x:c r="A30" s="7" t="str">
        <x:v>UX-119</x:v>
      </x:c>
      <x:c r="B30" s="7" t="str">
        <x:v>Sound Library</x:v>
      </x:c>
      <x:c r="C30" s="7" t="str">
        <x:v>Catalog</x:v>
      </x:c>
      <x:c r="D30" s="7" t="str">
        <x:v>Upload, preview and delete catalog sounds</x:v>
      </x:c>
      <x:c r="E30" s="7" t="str">
        <x:v>Media library should expose file metadata, preview and safe deletion.</x:v>
      </x:c>
      <x:c r="F30" s="7" t="str">
        <x:v>Admin Sound Catalog supports upload, preview and delete.</x:v>
      </x:c>
      <x:c r="G30" s="7" t="str">
        <x:v>Partial</x:v>
      </x:c>
      <x:c r="H30" s="7" t="str">
        <x:v>Warn when deleting a sound currently referenced by published sites.</x:v>
      </x:c>
      <x:c r="I30" s="7" t="str">
        <x:v>P1</x:v>
      </x:c>
      <x:c r="J30" s="7" t="str">
        <x:v>Complete without facilitator; SEQ ≥5/7</x:v>
      </x:c>
      <x:c r="K30" s="7" t="str">
        <x:v>Not Tested</x:v>
      </x:c>
      <x:c r="L30" s="7" t="str"/>
      <x:c r="M30" s="7" t="str"/>
      <x:c r="N30" s="7" t="str"/>
      <x:c r="O30" s="7" t="str"/>
      <x:c r="P30" s="7" t="str"/>
      <x:c r="Q30" s="7" t="str"/>
      <x:c r="R30" s="7" t="str"/>
      <x:c r="S30" s="7" t="str"/>
      <x:c r="T30" s="7" t="str">
        <x:v>R01</x:v>
      </x:c>
      <x:c r="U30" s="7"/>
      <x:c r="V30" s="48"/>
    </x:row>
    <x:row r="31">
      <x:c r="A31" s="7" t="str">
        <x:v>UX-120</x:v>
      </x:c>
      <x:c r="B31" s="7" t="str">
        <x:v>Tasks</x:v>
      </x:c>
      <x:c r="C31" s="7" t="str">
        <x:v>Task Board</x:v>
      </x:c>
      <x:c r="D31" s="7" t="str">
        <x:v>Monitor operational tasks</x:v>
      </x:c>
      <x:c r="E31" s="7" t="str">
        <x:v>Admin should filter/search by assignee, role, priority, status, age and order.</x:v>
      </x:c>
      <x:c r="F31" s="7" t="str">
        <x:v>Task board supports status filters and priority display.</x:v>
      </x:c>
      <x:c r="G31" s="7" t="str">
        <x:v>Partial</x:v>
      </x:c>
      <x:c r="H31" s="7" t="str">
        <x:v>Add search, assignee, priority and overdue filters plus bulk actions.</x:v>
      </x:c>
      <x:c r="I31" s="7" t="str">
        <x:v>P1</x:v>
      </x:c>
      <x:c r="J31" s="7" t="str">
        <x:v>Complete without facilitator; SEQ ≥5/7</x:v>
      </x:c>
      <x:c r="K31" s="7" t="str">
        <x:v>Not Tested</x:v>
      </x:c>
      <x:c r="L31" s="7" t="str"/>
      <x:c r="M31" s="7" t="str"/>
      <x:c r="N31" s="7" t="str"/>
      <x:c r="O31" s="7" t="str"/>
      <x:c r="P31" s="7" t="str"/>
      <x:c r="Q31" s="7" t="str"/>
      <x:c r="R31" s="7" t="str"/>
      <x:c r="S31" s="7" t="str"/>
      <x:c r="T31" s="7" t="str">
        <x:v>R01</x:v>
      </x:c>
      <x:c r="U31" s="7"/>
      <x:c r="V31" s="48"/>
    </x:row>
    <x:row r="32">
      <x:c r="A32" s="7" t="str">
        <x:v>UX-121</x:v>
      </x:c>
      <x:c r="B32" s="7" t="str">
        <x:v>Customer Service</x:v>
      </x:c>
      <x:c r="C32" s="7" t="str">
        <x:v>CS Oversight</x:v>
      </x:c>
      <x:c r="D32" s="7" t="str">
        <x:v>Open CS dashboard/inbox</x:v>
      </x:c>
      <x:c r="E32" s="7" t="str">
        <x:v>Administrator should see aggregate support health and drill into any conversation.</x:v>
      </x:c>
      <x:c r="F32" s="7" t="str">
        <x:v>Admin has wildcard permission and can access CS Dashboard/Inbox.</x:v>
      </x:c>
      <x:c r="G32" s="7" t="str">
        <x:v>Meets</x:v>
      </x:c>
      <x:c r="H32" s="7" t="str">
        <x:v>Add SLA/backlog metrics before production operations scale.</x:v>
      </x:c>
      <x:c r="I32" s="7" t="str">
        <x:v>P1</x:v>
      </x:c>
      <x:c r="J32" s="7" t="str">
        <x:v>Complete without facilitator; SEQ ≥5/7</x:v>
      </x:c>
      <x:c r="K32" s="7" t="str">
        <x:v>Not Tested</x:v>
      </x:c>
      <x:c r="L32" s="7" t="str"/>
      <x:c r="M32" s="7" t="str"/>
      <x:c r="N32" s="7" t="str"/>
      <x:c r="O32" s="7" t="str"/>
      <x:c r="P32" s="7" t="str"/>
      <x:c r="Q32" s="7" t="str"/>
      <x:c r="R32" s="7" t="str"/>
      <x:c r="S32" s="7" t="str"/>
      <x:c r="T32" s="7" t="str">
        <x:v>R11</x:v>
      </x:c>
      <x:c r="U32" s="7"/>
      <x:c r="V32" s="48"/>
    </x:row>
    <x:row r="33">
      <x:c r="A33" s="7" t="str">
        <x:v>UX-122</x:v>
      </x:c>
      <x:c r="B33" s="7" t="str">
        <x:v>Notifications</x:v>
      </x:c>
      <x:c r="C33" s="7" t="str">
        <x:v>Alerts</x:v>
      </x:c>
      <x:c r="D33" s="7" t="str">
        <x:v>Receive actionable task/chat notifications</x:v>
      </x:c>
      <x:c r="E33" s="7" t="str">
        <x:v>Alerts should indicate item, urgency and offer navigation; sound must be optional.</x:v>
      </x:c>
      <x:c r="F33" s="7" t="str">
        <x:v>Sound notifications exist; mute preference exists.</x:v>
      </x:c>
      <x:c r="G33" s="7" t="str">
        <x:v>Partial</x:v>
      </x:c>
      <x:c r="H33" s="7" t="str">
        <x:v>Add notification center, unread count and severity-aware grouping.</x:v>
      </x:c>
      <x:c r="I33" s="7" t="str">
        <x:v>P1</x:v>
      </x:c>
      <x:c r="J33" s="7" t="str">
        <x:v>Complete without facilitator; SEQ ≥5/7</x:v>
      </x:c>
      <x:c r="K33" s="7" t="str">
        <x:v>Not Tested</x:v>
      </x:c>
      <x:c r="L33" s="7" t="str"/>
      <x:c r="M33" s="7" t="str"/>
      <x:c r="N33" s="7" t="str"/>
      <x:c r="O33" s="7" t="str"/>
      <x:c r="P33" s="7" t="str"/>
      <x:c r="Q33" s="7" t="str"/>
      <x:c r="R33" s="7" t="str"/>
      <x:c r="S33" s="7" t="str"/>
      <x:c r="T33" s="7" t="str">
        <x:v>R01</x:v>
      </x:c>
      <x:c r="U33" s="7"/>
      <x:c r="V33" s="48"/>
    </x:row>
    <x:row r="34">
      <x:c r="A34" s="7" t="str">
        <x:v>UX-123</x:v>
      </x:c>
      <x:c r="B34" s="7" t="str">
        <x:v>Settings</x:v>
      </x:c>
      <x:c r="C34" s="7" t="str">
        <x:v>Public vs Internal Status</x:v>
      </x:c>
      <x:c r="D34" s="7" t="str">
        <x:v>Keep system health visible to Admin, not customers</x:v>
      </x:c>
      <x:c r="E34" s="7" t="str">
        <x:v>Operational database/API health belongs in admin observability, not marketing/customer pages.</x:v>
      </x:c>
      <x:c r="F34" s="7" t="str">
        <x:v>Landing currently shows Database connected/API offline badge.</x:v>
      </x:c>
      <x:c r="G34" s="7" t="str">
        <x:v>Gap</x:v>
      </x:c>
      <x:c r="H34" s="7" t="str">
        <x:v>Move API/DB health to Administrator-only System Status page.</x:v>
      </x:c>
      <x:c r="I34" s="7" t="str">
        <x:v>P0</x:v>
      </x:c>
      <x:c r="J34" s="7" t="str">
        <x:v>Complete without facilitator; SEQ ≥5/7</x:v>
      </x:c>
      <x:c r="K34" s="7" t="str">
        <x:v>Not Tested</x:v>
      </x:c>
      <x:c r="L34" s="7" t="str"/>
      <x:c r="M34" s="7" t="str"/>
      <x:c r="N34" s="7" t="str"/>
      <x:c r="O34" s="7" t="str"/>
      <x:c r="P34" s="7" t="str"/>
      <x:c r="Q34" s="7" t="str"/>
      <x:c r="R34" s="7" t="str"/>
      <x:c r="S34" s="7" t="str"/>
      <x:c r="T34" s="7" t="str">
        <x:v>R01</x:v>
      </x:c>
      <x:c r="U34" s="7"/>
      <x:c r="V34" s="48"/>
    </x:row>
    <x:row r="35">
      <x:c r="A35" s="7" t="str">
        <x:v>UX-124</x:v>
      </x:c>
      <x:c r="B35" s="7" t="str">
        <x:v>Security</x:v>
      </x:c>
      <x:c r="C35" s="7" t="str">
        <x:v>Default Credentials</x:v>
      </x:c>
      <x:c r="D35" s="7" t="str">
        <x:v>Operate without exposed default admin credentials</x:v>
      </x:c>
      <x:c r="E35" s="7" t="str">
        <x:v>Staging/production should force secure credential setup and never display default password hints.</x:v>
      </x:c>
      <x:c r="F35" s="7" t="str">
        <x:v>Source ships admin/admin and UI hints it on login.</x:v>
      </x:c>
      <x:c r="G35" s="7" t="str">
        <x:v>Gap</x:v>
      </x:c>
      <x:c r="H35" s="7" t="str">
        <x:v>On first staging deploy require password change; production seed should use secret/env or admin bootstrap flow.</x:v>
      </x:c>
      <x:c r="I35" s="7" t="str">
        <x:v>P0</x:v>
      </x:c>
      <x:c r="J35" s="7" t="str">
        <x:v>Complete without facilitator; SEQ ≥5/7</x:v>
      </x:c>
      <x:c r="K35" s="7" t="str">
        <x:v>Not Tested</x:v>
      </x:c>
      <x:c r="L35" s="7" t="str"/>
      <x:c r="M35" s="7" t="str"/>
      <x:c r="N35" s="7" t="str"/>
      <x:c r="O35" s="7" t="str"/>
      <x:c r="P35" s="7" t="str"/>
      <x:c r="Q35" s="7" t="str"/>
      <x:c r="R35" s="7" t="str"/>
      <x:c r="S35" s="7" t="str"/>
      <x:c r="T35" s="7" t="str">
        <x:v>R03,R15</x:v>
      </x:c>
      <x:c r="U35" s="7"/>
      <x:c r="V35" s="48"/>
    </x:row>
    <x:row r="36">
      <x:c r="A36" s="7" t="str">
        <x:v>UX-125</x:v>
      </x:c>
      <x:c r="B36" s="7" t="str">
        <x:v>Accessibility</x:v>
      </x:c>
      <x:c r="C36" s="7" t="str">
        <x:v>Complex Console</x:v>
      </x:c>
      <x:c r="D36" s="7" t="str">
        <x:v>Operate keyboard-first through forms/tables/dialogs</x:v>
      </x:c>
      <x:c r="E36" s="7" t="str">
        <x:v>Admin tables, dialogs and permission controls should have visible focus, logical order and labels.</x:v>
      </x:c>
      <x:c r="F36" s="7" t="str">
        <x:v>No comprehensive keyboard/focus audit is documented.</x:v>
      </x:c>
      <x:c r="G36" s="7" t="str">
        <x:v>Needs User Test</x:v>
      </x:c>
      <x:c r="H36" s="7" t="str">
        <x:v>Run keyboard-only account creation, role edit, approval, article publish and payment settings.</x:v>
      </x:c>
      <x:c r="I36" s="7" t="str">
        <x:v>P0</x:v>
      </x:c>
      <x:c r="J36" s="7" t="str">
        <x:v>Complete without facilitator; SEQ ≥5/7</x:v>
      </x:c>
      <x:c r="K36" s="7" t="str">
        <x:v>Not Tested</x:v>
      </x:c>
      <x:c r="L36" s="7" t="str"/>
      <x:c r="M36" s="7" t="str"/>
      <x:c r="N36" s="7" t="str"/>
      <x:c r="O36" s="7" t="str"/>
      <x:c r="P36" s="7" t="str"/>
      <x:c r="Q36" s="7" t="str"/>
      <x:c r="R36" s="7" t="str"/>
      <x:c r="S36" s="7" t="str"/>
      <x:c r="T36" s="7" t="str">
        <x:v>R03,R05</x:v>
      </x:c>
      <x:c r="U36" s="7"/>
      <x:c r="V36" s="48"/>
    </x:row>
    <x:row r="37">
      <x:c r="V37" s="50"/>
    </x:row>
    <x:row r="38">
      <x:c r="V38" s="50"/>
    </x:row>
    <x:row r="39">
      <x:c r="V39" s="50"/>
    </x:row>
    <x:row r="40">
      <x:c r="V40" s="50"/>
    </x:row>
    <x:row r="41">
      <x:c r="V41" s="50"/>
    </x:row>
    <x:row r="42">
      <x:c r="V42" s="50"/>
    </x:row>
    <x:row r="43">
      <x:c r="V43" s="50"/>
    </x:row>
    <x:row r="44">
      <x:c r="V44" s="50"/>
    </x:row>
    <x:row r="45">
      <x:c r="V45" s="50"/>
    </x:row>
    <x:row r="46">
      <x:c r="V46" s="50"/>
    </x:row>
    <x:row r="47">
      <x:c r="V47" s="50"/>
    </x:row>
    <x:row r="48">
      <x:c r="V48" s="50"/>
    </x:row>
    <x:row r="49">
      <x:c r="V49" s="50"/>
    </x:row>
    <x:row r="50">
      <x:c r="V50" s="50"/>
    </x:row>
    <x:row r="51">
      <x:c r="V51" s="50"/>
    </x:row>
    <x:row r="52">
      <x:c r="V52" s="50"/>
    </x:row>
    <x:row r="53">
      <x:c r="V53" s="50"/>
    </x:row>
    <x:row r="54">
      <x:c r="V54" s="50"/>
    </x:row>
    <x:row r="55">
      <x:c r="V55" s="50"/>
    </x:row>
    <x:row r="56">
      <x:c r="V56" s="50"/>
    </x:row>
    <x:row r="57">
      <x:c r="V57" s="50"/>
    </x:row>
    <x:row r="58">
      <x:c r="V58" s="50"/>
    </x:row>
    <x:row r="59">
      <x:c r="V59" s="50"/>
    </x:row>
    <x:row r="60">
      <x:c r="V60" s="50"/>
    </x:row>
    <x:row r="61">
      <x:c r="V61" s="50"/>
    </x:row>
    <x:row r="62">
      <x:c r="V62" s="50"/>
    </x:row>
    <x:row r="63">
      <x:c r="V63" s="50"/>
    </x:row>
    <x:row r="64">
      <x:c r="V64" s="50"/>
    </x:row>
    <x:row r="65">
      <x:c r="V65" s="50"/>
    </x:row>
    <x:row r="66">
      <x:c r="V66" s="50"/>
    </x:row>
    <x:row r="67">
      <x:c r="V67" s="50"/>
    </x:row>
    <x:row r="68">
      <x:c r="V68" s="50"/>
    </x:row>
    <x:row r="69">
      <x:c r="V69" s="50"/>
    </x:row>
    <x:row r="70">
      <x:c r="V70" s="50"/>
    </x:row>
    <x:row r="71">
      <x:c r="V71" s="50"/>
    </x:row>
    <x:row r="72">
      <x:c r="V72" s="50"/>
    </x:row>
    <x:row r="73">
      <x:c r="V73" s="50"/>
    </x:row>
    <x:row r="74">
      <x:c r="V74" s="50"/>
    </x:row>
    <x:row r="75">
      <x:c r="V75" s="50"/>
    </x:row>
    <x:row r="76">
      <x:c r="V76" s="50"/>
    </x:row>
    <x:row r="77">
      <x:c r="V77" s="50"/>
    </x:row>
    <x:row r="78">
      <x:c r="V78" s="50"/>
    </x:row>
    <x:row r="79">
      <x:c r="V79" s="50"/>
    </x:row>
    <x:row r="80">
      <x:c r="V80" s="50"/>
    </x:row>
    <x:row r="81">
      <x:c r="V81" s="50"/>
    </x:row>
    <x:row r="82">
      <x:c r="V82" s="50"/>
    </x:row>
    <x:row r="83">
      <x:c r="V83" s="50"/>
    </x:row>
    <x:row r="84">
      <x:c r="V84" s="50"/>
    </x:row>
    <x:row r="85">
      <x:c r="V85" s="50"/>
    </x:row>
    <x:row r="86">
      <x:c r="V86" s="50"/>
    </x:row>
    <x:row r="87">
      <x:c r="V87" s="50"/>
    </x:row>
    <x:row r="88">
      <x:c r="V88" s="50"/>
    </x:row>
    <x:row r="89">
      <x:c r="V89" s="50"/>
    </x:row>
    <x:row r="90">
      <x:c r="V90" s="50"/>
    </x:row>
    <x:row r="91">
      <x:c r="V91" s="50"/>
    </x:row>
    <x:row r="92">
      <x:c r="V92" s="50"/>
    </x:row>
    <x:row r="93">
      <x:c r="V93" s="50"/>
    </x:row>
    <x:row r="94">
      <x:c r="V94" s="50"/>
    </x:row>
    <x:row r="95">
      <x:c r="V95" s="50"/>
    </x:row>
    <x:row r="96">
      <x:c r="V96" s="50"/>
    </x:row>
    <x:row r="97">
      <x:c r="V97" s="50"/>
    </x:row>
    <x:row r="98">
      <x:c r="V98" s="50"/>
    </x:row>
    <x:row r="99">
      <x:c r="V99" s="50"/>
    </x:row>
    <x:row r="100">
      <x:c r="V100" s="50"/>
    </x:row>
    <x:row r="101">
      <x:c r="V101" s="50"/>
    </x:row>
    <x:row r="102">
      <x:c r="V102" s="50"/>
    </x:row>
    <x:row r="103">
      <x:c r="V103" s="50"/>
    </x:row>
    <x:row r="104">
      <x:c r="V104" s="50"/>
    </x:row>
    <x:row r="105">
      <x:c r="V105" s="50"/>
    </x:row>
    <x:row r="106">
      <x:c r="V106" s="50"/>
    </x:row>
    <x:row r="107">
      <x:c r="V107" s="50"/>
    </x:row>
    <x:row r="108">
      <x:c r="V108" s="50"/>
    </x:row>
    <x:row r="109">
      <x:c r="V109" s="50"/>
    </x:row>
    <x:row r="110">
      <x:c r="V110" s="50"/>
    </x:row>
    <x:row r="111">
      <x:c r="V111" s="50"/>
    </x:row>
    <x:row r="112">
      <x:c r="V112" s="50"/>
    </x:row>
    <x:row r="113">
      <x:c r="V113" s="50"/>
    </x:row>
    <x:row r="114">
      <x:c r="V114" s="50"/>
    </x:row>
    <x:row r="115">
      <x:c r="V115" s="50"/>
    </x:row>
    <x:row r="116">
      <x:c r="V116" s="50"/>
    </x:row>
    <x:row r="117">
      <x:c r="V117" s="50"/>
    </x:row>
    <x:row r="118">
      <x:c r="V118" s="50"/>
    </x:row>
    <x:row r="119">
      <x:c r="V119" s="50"/>
    </x:row>
    <x:row r="120">
      <x:c r="V120" s="50"/>
    </x:row>
    <x:row r="121">
      <x:c r="V121" s="50"/>
    </x:row>
    <x:row r="122">
      <x:c r="V122" s="50"/>
    </x:row>
    <x:row r="123">
      <x:c r="V123" s="50"/>
    </x:row>
    <x:row r="124">
      <x:c r="V124" s="50"/>
    </x:row>
    <x:row r="125">
      <x:c r="V125" s="50"/>
    </x:row>
    <x:row r="126">
      <x:c r="V126" s="50"/>
    </x:row>
    <x:row r="127">
      <x:c r="V127" s="50"/>
    </x:row>
    <x:row r="128">
      <x:c r="V128" s="50"/>
    </x:row>
    <x:row r="129">
      <x:c r="V129" s="50"/>
    </x:row>
    <x:row r="130">
      <x:c r="V130" s="50"/>
    </x:row>
    <x:row r="131">
      <x:c r="V131" s="50"/>
    </x:row>
    <x:row r="132">
      <x:c r="V132" s="50"/>
    </x:row>
    <x:row r="133">
      <x:c r="V133" s="50"/>
    </x:row>
    <x:row r="134">
      <x:c r="V134" s="50"/>
    </x:row>
    <x:row r="135">
      <x:c r="V135" s="50"/>
    </x:row>
    <x:row r="136">
      <x:c r="V136" s="50"/>
    </x:row>
    <x:row r="137">
      <x:c r="V137" s="50"/>
    </x:row>
    <x:row r="138">
      <x:c r="V138" s="50"/>
    </x:row>
    <x:row r="139">
      <x:c r="V139" s="50"/>
    </x:row>
    <x:row r="140">
      <x:c r="V140" s="50"/>
    </x:row>
    <x:row r="141">
      <x:c r="V141" s="50"/>
    </x:row>
    <x:row r="142">
      <x:c r="V142" s="50"/>
    </x:row>
    <x:row r="143">
      <x:c r="V143" s="50"/>
    </x:row>
    <x:row r="144">
      <x:c r="V144" s="50"/>
    </x:row>
    <x:row r="145">
      <x:c r="V145" s="50"/>
    </x:row>
    <x:row r="146">
      <x:c r="V146" s="50"/>
    </x:row>
    <x:row r="147">
      <x:c r="V147" s="50"/>
    </x:row>
    <x:row r="148">
      <x:c r="V148" s="50"/>
    </x:row>
    <x:row r="149">
      <x:c r="V149" s="50"/>
    </x:row>
    <x:row r="150">
      <x:c r="V150" s="50"/>
    </x:row>
    <x:row r="151">
      <x:c r="V151" s="50"/>
    </x:row>
    <x:row r="152">
      <x:c r="V152" s="50"/>
    </x:row>
    <x:row r="153">
      <x:c r="V153" s="50"/>
    </x:row>
    <x:row r="154">
      <x:c r="V154" s="50"/>
    </x:row>
    <x:row r="155">
      <x:c r="V155" s="50"/>
    </x:row>
    <x:row r="156">
      <x:c r="V156" s="50"/>
    </x:row>
    <x:row r="157">
      <x:c r="V157" s="50"/>
    </x:row>
    <x:row r="158">
      <x:c r="V158" s="50"/>
    </x:row>
    <x:row r="159">
      <x:c r="V159" s="50"/>
    </x:row>
    <x:row r="160">
      <x:c r="V160" s="50"/>
    </x:row>
    <x:row r="161">
      <x:c r="V161" s="50"/>
    </x:row>
    <x:row r="162">
      <x:c r="V162" s="50"/>
    </x:row>
    <x:row r="163">
      <x:c r="V163" s="50"/>
    </x:row>
    <x:row r="164">
      <x:c r="V164" s="50"/>
    </x:row>
    <x:row r="165">
      <x:c r="V165" s="50"/>
    </x:row>
    <x:row r="166">
      <x:c r="V166" s="50"/>
    </x:row>
    <x:row r="167">
      <x:c r="V167" s="50"/>
    </x:row>
    <x:row r="168">
      <x:c r="V168" s="50"/>
    </x:row>
    <x:row r="169">
      <x:c r="V169" s="50"/>
    </x:row>
    <x:row r="170">
      <x:c r="V170" s="50"/>
    </x:row>
    <x:row r="171">
      <x:c r="V171" s="50"/>
    </x:row>
    <x:row r="172">
      <x:c r="V172" s="50"/>
    </x:row>
    <x:row r="173">
      <x:c r="V173" s="50"/>
    </x:row>
    <x:row r="174">
      <x:c r="V174" s="50"/>
    </x:row>
    <x:row r="175">
      <x:c r="V175" s="50"/>
    </x:row>
    <x:row r="176">
      <x:c r="V176" s="50"/>
    </x:row>
    <x:row r="177">
      <x:c r="V177" s="50"/>
    </x:row>
    <x:row r="178">
      <x:c r="V178" s="50"/>
    </x:row>
    <x:row r="179">
      <x:c r="V179" s="50"/>
    </x:row>
    <x:row r="180">
      <x:c r="V180" s="50"/>
    </x:row>
    <x:row r="181">
      <x:c r="V181" s="50"/>
    </x:row>
    <x:row r="182">
      <x:c r="V182" s="50"/>
    </x:row>
    <x:row r="183">
      <x:c r="V183" s="50"/>
    </x:row>
    <x:row r="184">
      <x:c r="V184" s="50"/>
    </x:row>
    <x:row r="185">
      <x:c r="V185" s="50"/>
    </x:row>
    <x:row r="186">
      <x:c r="V186" s="50"/>
    </x:row>
    <x:row r="187">
      <x:c r="V187" s="50"/>
    </x:row>
    <x:row r="188">
      <x:c r="V188" s="50"/>
    </x:row>
    <x:row r="189">
      <x:c r="V189" s="50"/>
    </x:row>
    <x:row r="190">
      <x:c r="V190" s="50"/>
    </x:row>
    <x:row r="191">
      <x:c r="V191" s="50"/>
    </x:row>
    <x:row r="192">
      <x:c r="V192" s="50"/>
    </x:row>
    <x:row r="193">
      <x:c r="V193" s="50"/>
    </x:row>
    <x:row r="194">
      <x:c r="V194" s="50"/>
    </x:row>
    <x:row r="195">
      <x:c r="V195" s="50"/>
    </x:row>
    <x:row r="196">
      <x:c r="V196" s="50"/>
    </x:row>
    <x:row r="197">
      <x:c r="V197" s="50"/>
    </x:row>
    <x:row r="198">
      <x:c r="V198" s="50"/>
    </x:row>
    <x:row r="199">
      <x:c r="V199" s="50"/>
    </x:row>
    <x:row r="200">
      <x:c r="V200" s="50"/>
    </x:row>
  </x:sheetData>
  <x:mergeCells>
    <x:mergeCell ref="A1:T1"/>
    <x:mergeCell ref="D3:H7"/>
  </x:mergeCells>
  <x:conditionalFormatting sqref="G10:G36">
    <x:cfRule type="expression" dxfId="24" priority="1">
      <x:formula>G10="Meets"</x:formula>
    </x:cfRule>
    <x:cfRule type="expression" dxfId="25" priority="2">
      <x:formula>G10="Partial"</x:formula>
    </x:cfRule>
    <x:cfRule type="expression" dxfId="26" priority="3">
      <x:formula>G10="Gap"</x:formula>
    </x:cfRule>
    <x:cfRule type="expression" dxfId="27" priority="4">
      <x:formula>G10="Needs User Test"</x:formula>
    </x:cfRule>
  </x:conditionalFormatting>
  <x:conditionalFormatting sqref="K10:K36">
    <x:cfRule type="expression" dxfId="28" priority="5">
      <x:formula>K10="Pass"</x:formula>
    </x:cfRule>
    <x:cfRule type="expression" dxfId="29" priority="6">
      <x:formula>K10="Fail"</x:formula>
    </x:cfRule>
  </x:conditionalFormatting>
  <x:dataValidations count="7">
    <x:dataValidation type="list" sqref="G10:G36">
      <x:formula1>"Meets,Partial,Gap,Needs User Test"</x:formula1>
    </x:dataValidation>
    <x:dataValidation type="list" sqref="I10:I36">
      <x:formula1>"P0,P1,P2"</x:formula1>
    </x:dataValidation>
    <x:dataValidation type="list" sqref="K10:K36">
      <x:formula1>"Not Tested,Pass,Fail,Blocked"</x:formula1>
    </x:dataValidation>
    <x:dataValidation type="list" sqref="L10:L36">
      <x:formula1>"Yes,No,N/A"</x:formula1>
    </x:dataValidation>
    <x:dataValidation type="list" sqref="O10:O36">
      <x:formula1>"None,Hint,Direct"</x:formula1>
    </x:dataValidation>
    <x:dataValidation type="list" sqref="P10:P36">
      <x:formula1>"1,2,3,4,5,6,7"</x:formula1>
    </x:dataValidation>
    <x:dataValidation type="list" sqref="Q10:Q36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e167cb7fed41e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22" hidden="0" customWidth="1"/>
    <x:col min="4" max="4" width="40" hidden="0" customWidth="1"/>
    <x:col min="5" max="5" width="50" hidden="0" customWidth="1"/>
    <x:col min="6" max="6" width="50" hidden="0" customWidth="1"/>
    <x:col min="7" max="7" width="18" hidden="0" customWidth="1"/>
    <x:col min="8" max="8" width="50" hidden="0" customWidth="1"/>
    <x:col min="9" max="9" width="10" hidden="0" customWidth="1"/>
    <x:col min="10" max="10" width="34" hidden="0" customWidth="1"/>
    <x:col min="11" max="11" width="14" hidden="0" customWidth="1"/>
    <x:col min="12" max="12" width="13" hidden="0" customWidth="1"/>
    <x:col min="13" max="13" width="12" hidden="0" customWidth="1"/>
    <x:col min="14" max="14" width="10" hidden="0" customWidth="1"/>
    <x:col min="15" max="15" width="12" hidden="0" customWidth="1"/>
    <x:col min="16" max="16" width="11" hidden="0" customWidth="1"/>
    <x:col min="17" max="17" width="15" hidden="0" customWidth="1"/>
    <x:col min="18" max="18" width="48" hidden="0" customWidth="1"/>
    <x:col min="19" max="19" width="14" hidden="0" customWidth="1"/>
    <x:col min="20" max="20" width="16" hidden="0" customWidth="1"/>
    <x:col min="21" max="21" width="36" hidden="0" customWidth="1"/>
    <x:col min="22" max="22" width="14" hidden="0" customWidth="1"/>
  </x:cols>
  <x:sheetData>
    <x:row r="1" ht="28" customHeight="1">
      <x:c r="A1" s="14" t="str">
        <x:v>Customer Service — UX QA Form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</x:row>
    <x:row r="3">
      <x:c r="A3" s="22" t="str">
        <x:v>Role Definition</x:v>
      </x:c>
      <x:c r="B3" s="7" t="str">
        <x:v>Support &amp; onboarding operator</x:v>
      </x:c>
      <x:c r="D3" s="27" t="str">
        <x:v>Moderator instruction: berikan task, bukan langkah. Jangan mengajari tester sebelum task selesai. Catat apakah task selesai tanpa bantuan, waktu, error, bantuan yang dibutuhkan, SEQ (1=sangat sulit, 7=sangat mudah), dan confidence (1=tidak yakin, 5=sangat yakin). Functional Pass tidak otomatis berarti UX nyaman.</x:v>
      </x:c>
      <x:c r="E3" s="27"/>
      <x:c r="F3" s="27"/>
      <x:c r="G3" s="27"/>
      <x:c r="H3" s="27"/>
    </x:row>
    <x:row r="4">
      <x:c r="A4" s="22" t="str">
        <x:v>Critical Journey</x:v>
      </x:c>
      <x:c r="B4" s="7" t="str">
        <x:v>CS Dashboard → Prioritize Inbox → Understand Context → Reply/Resolve → Task Follow-up</x:v>
      </x:c>
      <x:c r="D4" s="27"/>
      <x:c r="E4" s="27"/>
      <x:c r="F4" s="27"/>
      <x:c r="G4" s="27"/>
      <x:c r="H4" s="27"/>
    </x:row>
    <x:row r="5">
      <x:c r="A5" s="22" t="str">
        <x:v>Tester Name</x:v>
      </x:c>
      <x:c r="B5" s="7" t="str"/>
      <x:c r="D5" s="27"/>
      <x:c r="E5" s="27"/>
      <x:c r="F5" s="27"/>
      <x:c r="G5" s="27"/>
      <x:c r="H5" s="27"/>
    </x:row>
    <x:row r="6">
      <x:c r="A6" s="22" t="str">
        <x:v>Device / Browser</x:v>
      </x:c>
      <x:c r="B6" s="7" t="str"/>
      <x:c r="D6" s="27"/>
      <x:c r="E6" s="27"/>
      <x:c r="F6" s="27"/>
      <x:c r="G6" s="27"/>
      <x:c r="H6" s="27"/>
    </x:row>
    <x:row r="7">
      <x:c r="A7" s="22" t="str">
        <x:v>Build / Date</x:v>
      </x:c>
      <x:c r="B7" s="7" t="str">
        <x:v>v0.13 / </x:v>
      </x:c>
      <x:c r="D7" s="27"/>
      <x:c r="E7" s="27"/>
      <x:c r="F7" s="27"/>
      <x:c r="G7" s="27"/>
      <x:c r="H7" s="27"/>
    </x:row>
    <x:row r="9">
      <x:c r="A9" s="6" t="str">
        <x:v>QA ID</x:v>
      </x:c>
      <x:c r="B9" s="6" t="str">
        <x:v>Stage</x:v>
      </x:c>
      <x:c r="C9" s="6" t="str">
        <x:v>Feature</x:v>
      </x:c>
      <x:c r="D9" s="6" t="str">
        <x:v>Task / Scenario</x:v>
      </x:c>
      <x:c r="E9" s="6" t="str">
        <x:v>Expected UX</x:v>
      </x:c>
      <x:c r="F9" s="6" t="str">
        <x:v>Current v0.13</x:v>
      </x:c>
      <x:c r="G9" s="6" t="str">
        <x:v>Pre-Audit</x:v>
      </x:c>
      <x:c r="H9" s="6" t="str">
        <x:v>Recommendation</x:v>
      </x:c>
      <x:c r="I9" s="6" t="str">
        <x:v>Priority</x:v>
      </x:c>
      <x:c r="J9" s="6" t="str">
        <x:v>Target</x:v>
      </x:c>
      <x:c r="K9" s="6" t="str">
        <x:v>Tester Result</x:v>
      </x:c>
      <x:c r="L9" s="6" t="str">
        <x:v>Task Success</x:v>
      </x:c>
      <x:c r="M9" s="6" t="str">
        <x:v>Time sec</x:v>
      </x:c>
      <x:c r="N9" s="6" t="str">
        <x:v>Errors</x:v>
      </x:c>
      <x:c r="O9" s="6" t="str">
        <x:v>Assistance</x:v>
      </x:c>
      <x:c r="P9" s="6" t="str">
        <x:v>SEQ 1-7</x:v>
      </x:c>
      <x:c r="Q9" s="6" t="str">
        <x:v>Confidence 1-5</x:v>
      </x:c>
      <x:c r="R9" s="6" t="str">
        <x:v>Actual Observation</x:v>
      </x:c>
      <x:c r="S9" s="6" t="str">
        <x:v>Defect ID</x:v>
      </x:c>
      <x:c r="T9" s="6" t="str">
        <x:v>Source IDs</x:v>
      </x:c>
      <x:c r="U9" s="3" t="str">
        <x:v>Tester Notes</x:v>
      </x:c>
      <x:c r="V9" s="3" t="str">
        <x:v>Test Date</x:v>
      </x:c>
    </x:row>
    <x:row r="10">
      <x:c r="A10" s="7" t="str">
        <x:v>UX-126</x:v>
      </x:c>
      <x:c r="B10" s="7" t="str">
        <x:v>Dashboard</x:v>
      </x:c>
      <x:c r="C10" s="7" t="str">
        <x:v>Entry Point</x:v>
      </x:c>
      <x:c r="D10" s="7" t="str">
        <x:v>Land on CS dashboard after login</x:v>
      </x:c>
      <x:c r="E10" s="7" t="str">
        <x:v>CS should start with queue health and clear primary action to open Inbox.</x:v>
      </x:c>
      <x:c r="F10" s="7" t="str">
        <x:v>Role fallback routes to cs-dashboard; dashboard has Open inbox/Open tasks.</x:v>
      </x:c>
      <x:c r="G10" s="7" t="str">
        <x:v>Meets</x:v>
      </x:c>
      <x:c r="H10" s="7" t="str">
        <x:v>Retain CS-specific landing and avoid unrelated modules.</x:v>
      </x:c>
      <x:c r="I10" s="7" t="str">
        <x:v>P1</x:v>
      </x:c>
      <x:c r="J10" s="7" t="str">
        <x:v>Complete without facilitator; SEQ ≥5/7</x:v>
      </x:c>
      <x:c r="K10" s="7" t="str">
        <x:v>Not Tested</x:v>
      </x:c>
      <x:c r="L10" s="7" t="str"/>
      <x:c r="M10" s="7" t="str"/>
      <x:c r="N10" s="7" t="str"/>
      <x:c r="O10" s="7" t="str"/>
      <x:c r="P10" s="7" t="str"/>
      <x:c r="Q10" s="7" t="str"/>
      <x:c r="R10" s="7" t="str"/>
      <x:c r="S10" s="7" t="str"/>
      <x:c r="T10" s="7" t="str">
        <x:v>R01,R15</x:v>
      </x:c>
      <x:c r="U10" s="7"/>
      <x:c r="V10" s="48"/>
    </x:row>
    <x:row r="11">
      <x:c r="A11" s="7" t="str">
        <x:v>UX-127</x:v>
      </x:c>
      <x:c r="B11" s="7" t="str">
        <x:v>Dashboard</x:v>
      </x:c>
      <x:c r="C11" s="7" t="str">
        <x:v>Metrics</x:v>
      </x:c>
      <x:c r="D11" s="7" t="str">
        <x:v>Trust Incoming, Replies, Active and Resolved counts</x:v>
      </x:c>
      <x:c r="E11" s="7" t="str">
        <x:v>Metrics should come from actual conversation/message state and define the scope.</x:v>
      </x:c>
      <x:c r="F11" s="7" t="str">
        <x:v>Metrics are database-backed; incoming excludes system messages after v0.12.</x:v>
      </x:c>
      <x:c r="G11" s="7" t="str">
        <x:v>Meets</x:v>
      </x:c>
      <x:c r="H11" s="7" t="str">
        <x:v>Add date window and assigned-to-me vs team scope labels.</x:v>
      </x:c>
      <x:c r="I11" s="7" t="str">
        <x:v>P1</x:v>
      </x:c>
      <x:c r="J11" s="7" t="str">
        <x:v>Complete without facilitator; SEQ ≥5/7</x:v>
      </x:c>
      <x:c r="K11" s="7" t="str">
        <x:v>Not Tested</x:v>
      </x:c>
      <x:c r="L11" s="7" t="str"/>
      <x:c r="M11" s="7" t="str"/>
      <x:c r="N11" s="7" t="str"/>
      <x:c r="O11" s="7" t="str"/>
      <x:c r="P11" s="7" t="str"/>
      <x:c r="Q11" s="7" t="str"/>
      <x:c r="R11" s="7" t="str"/>
      <x:c r="S11" s="7" t="str"/>
      <x:c r="T11" s="7" t="str">
        <x:v>R01</x:v>
      </x:c>
      <x:c r="U11" s="7"/>
      <x:c r="V11" s="48"/>
    </x:row>
    <x:row r="12">
      <x:c r="A12" s="7" t="str">
        <x:v>UX-128</x:v>
      </x:c>
      <x:c r="B12" s="7" t="str">
        <x:v>Dashboard</x:v>
      </x:c>
      <x:c r="C12" s="7" t="str">
        <x:v>Drilldown</x:v>
      </x:c>
      <x:c r="D12" s="7" t="str">
        <x:v>Click metric and see matching conversation set</x:v>
      </x:c>
      <x:c r="E12" s="7" t="str">
        <x:v>Metrics should drill into a filtered inbox reflecting the count.</x:v>
      </x:c>
      <x:c r="F12" s="7" t="str">
        <x:v>All metric cards route to generic Support Inbox without preserving filter.</x:v>
      </x:c>
      <x:c r="G12" s="7" t="str">
        <x:v>Gap</x:v>
      </x:c>
      <x:c r="H12" s="7" t="str">
        <x:v>Deep-link each metric to filtered Inbox (e.g., Active/Open, Resolved, Awaiting Reply).</x:v>
      </x:c>
      <x:c r="I12" s="7" t="str">
        <x:v>P1</x:v>
      </x:c>
      <x:c r="J12" s="7" t="str">
        <x:v>Complete without facilitator; SEQ ≥5/7</x:v>
      </x:c>
      <x:c r="K12" s="7" t="str">
        <x:v>Not Tested</x:v>
      </x:c>
      <x:c r="L12" s="7" t="str"/>
      <x:c r="M12" s="7" t="str"/>
      <x:c r="N12" s="7" t="str"/>
      <x:c r="O12" s="7" t="str"/>
      <x:c r="P12" s="7" t="str"/>
      <x:c r="Q12" s="7" t="str"/>
      <x:c r="R12" s="7" t="str"/>
      <x:c r="S12" s="7" t="str"/>
      <x:c r="T12" s="7" t="str">
        <x:v>R01,R11</x:v>
      </x:c>
      <x:c r="U12" s="7"/>
      <x:c r="V12" s="48"/>
    </x:row>
    <x:row r="13">
      <x:c r="A13" s="7" t="str">
        <x:v>UX-129</x:v>
      </x:c>
      <x:c r="B13" s="7" t="str">
        <x:v>Inbox</x:v>
      </x:c>
      <x:c r="C13" s="7" t="str">
        <x:v>All Inbound</x:v>
      </x:c>
      <x:c r="D13" s="7" t="str">
        <x:v>Receive landing, Customer and order conversations</x:v>
      </x:c>
      <x:c r="E13" s="7" t="str">
        <x:v>All supported inbound channels should converge into one queue with channel/context.</x:v>
      </x:c>
      <x:c r="F13" s="7" t="str">
        <x:v>Database Inbox is designed to contain landing, User dashboard, checkout and outbound team threads.</x:v>
      </x:c>
      <x:c r="G13" s="7" t="str">
        <x:v>Meets</x:v>
      </x:c>
      <x:c r="H13" s="7" t="str">
        <x:v>Test channel labels and deduplication across email/web/WhatsApp when integrated.</x:v>
      </x:c>
      <x:c r="I13" s="7" t="str">
        <x:v>P1</x:v>
      </x:c>
      <x:c r="J13" s="7" t="str">
        <x:v>Complete without facilitator; SEQ ≥5/7</x:v>
      </x:c>
      <x:c r="K13" s="7" t="str">
        <x:v>Not Tested</x:v>
      </x:c>
      <x:c r="L13" s="7" t="str"/>
      <x:c r="M13" s="7" t="str"/>
      <x:c r="N13" s="7" t="str"/>
      <x:c r="O13" s="7" t="str"/>
      <x:c r="P13" s="7" t="str"/>
      <x:c r="Q13" s="7" t="str"/>
      <x:c r="R13" s="7" t="str"/>
      <x:c r="S13" s="7" t="str"/>
      <x:c r="T13" s="7" t="str">
        <x:v>R09</x:v>
      </x:c>
      <x:c r="U13" s="7"/>
      <x:c r="V13" s="48"/>
    </x:row>
    <x:row r="14">
      <x:c r="A14" s="7" t="str">
        <x:v>UX-130</x:v>
      </x:c>
      <x:c r="B14" s="7" t="str">
        <x:v>Inbox</x:v>
      </x:c>
      <x:c r="C14" s="7" t="str">
        <x:v>Search</x:v>
      </x:c>
      <x:c r="D14" s="7" t="str">
        <x:v>Find a conversation by customer/order</x:v>
      </x:c>
      <x:c r="E14" s="7" t="str">
        <x:v>Search field should actually filter by customer, email, phone and order reference.</x:v>
      </x:c>
      <x:c r="F14" s="7" t="str">
        <x:v>Conversation list shows 'Cari conversation...' input but no bound state/filter logic.</x:v>
      </x:c>
      <x:c r="G14" s="7" t="str">
        <x:v>Gap</x:v>
      </x:c>
      <x:c r="H14" s="7" t="str">
        <x:v>Implement search and keyboard shortcut; index common identifiers.</x:v>
      </x:c>
      <x:c r="I14" s="7" t="str">
        <x:v>P0</x:v>
      </x:c>
      <x:c r="J14" s="7" t="str">
        <x:v>Complete without facilitator; SEQ ≥5/7</x:v>
      </x:c>
      <x:c r="K14" s="7" t="str">
        <x:v>Not Tested</x:v>
      </x:c>
      <x:c r="L14" s="7" t="str"/>
      <x:c r="M14" s="7" t="str"/>
      <x:c r="N14" s="7" t="str"/>
      <x:c r="O14" s="7" t="str"/>
      <x:c r="P14" s="7" t="str"/>
      <x:c r="Q14" s="7" t="str"/>
      <x:c r="R14" s="7" t="str"/>
      <x:c r="S14" s="7" t="str"/>
      <x:c r="T14" s="7" t="str">
        <x:v>R01,R09</x:v>
      </x:c>
      <x:c r="U14" s="7"/>
      <x:c r="V14" s="48"/>
    </x:row>
    <x:row r="15">
      <x:c r="A15" s="7" t="str">
        <x:v>UX-131</x:v>
      </x:c>
      <x:c r="B15" s="7" t="str">
        <x:v>Inbox</x:v>
      </x:c>
      <x:c r="C15" s="7" t="str">
        <x:v>Views/Filters</x:v>
      </x:c>
      <x:c r="D15" s="7" t="str">
        <x:v>Filter queue by status/team/tag</x:v>
      </x:c>
      <x:c r="E15" s="7" t="str">
        <x:v>Support teams need simple views and filters rather than scanning one long list.</x:v>
      </x:c>
      <x:c r="F15" s="7" t="str">
        <x:v>No inbox status/team/tag filter UI is evident.</x:v>
      </x:c>
      <x:c r="G15" s="7" t="str">
        <x:v>Gap</x:v>
      </x:c>
      <x:c r="H15" s="7" t="str">
        <x:v>Add My Open, Unassigned, Waiting Customer, Resolved + team/tag filters.</x:v>
      </x:c>
      <x:c r="I15" s="7" t="str">
        <x:v>P0</x:v>
      </x:c>
      <x:c r="J15" s="7" t="str">
        <x:v>Complete without facilitator; SEQ ≥5/7</x:v>
      </x:c>
      <x:c r="K15" s="7" t="str">
        <x:v>Not Tested</x:v>
      </x:c>
      <x:c r="L15" s="7" t="str"/>
      <x:c r="M15" s="7" t="str"/>
      <x:c r="N15" s="7" t="str"/>
      <x:c r="O15" s="7" t="str"/>
      <x:c r="P15" s="7" t="str"/>
      <x:c r="Q15" s="7" t="str"/>
      <x:c r="R15" s="7" t="str"/>
      <x:c r="S15" s="7" t="str"/>
      <x:c r="T15" s="7" t="str">
        <x:v>R09</x:v>
      </x:c>
      <x:c r="U15" s="7"/>
      <x:c r="V15" s="48"/>
    </x:row>
    <x:row r="16">
      <x:c r="A16" s="7" t="str">
        <x:v>UX-132</x:v>
      </x:c>
      <x:c r="B16" s="7" t="str">
        <x:v>Inbox</x:v>
      </x:c>
      <x:c r="C16" s="7" t="str">
        <x:v>SLA Priority</x:v>
      </x:c>
      <x:c r="D16" s="7" t="str">
        <x:v>Know which conversation needs response first</x:v>
      </x:c>
      <x:c r="E16" s="7" t="str">
        <x:v>Queue should expose first/next reply SLA and allow sorting by breach risk.</x:v>
      </x:c>
      <x:c r="F16" s="7" t="str">
        <x:v>No SLA timers/sorting are present.</x:v>
      </x:c>
      <x:c r="G16" s="7" t="str">
        <x:v>Gap</x:v>
      </x:c>
      <x:c r="H16" s="7" t="str">
        <x:v>Add FRT/NRT targets, countdown/breach state and SLA sorting.</x:v>
      </x:c>
      <x:c r="I16" s="7" t="str">
        <x:v>P0</x:v>
      </x:c>
      <x:c r="J16" s="7" t="str">
        <x:v>Complete without facilitator; SEQ ≥5/7</x:v>
      </x:c>
      <x:c r="K16" s="7" t="str">
        <x:v>Not Tested</x:v>
      </x:c>
      <x:c r="L16" s="7" t="str"/>
      <x:c r="M16" s="7" t="str"/>
      <x:c r="N16" s="7" t="str"/>
      <x:c r="O16" s="7" t="str"/>
      <x:c r="P16" s="7" t="str"/>
      <x:c r="Q16" s="7" t="str"/>
      <x:c r="R16" s="7" t="str"/>
      <x:c r="S16" s="7" t="str"/>
      <x:c r="T16" s="7" t="str">
        <x:v>R11</x:v>
      </x:c>
      <x:c r="U16" s="7"/>
      <x:c r="V16" s="48"/>
    </x:row>
    <x:row r="17">
      <x:c r="A17" s="7" t="str">
        <x:v>UX-133</x:v>
      </x:c>
      <x:c r="B17" s="7" t="str">
        <x:v>Inbox</x:v>
      </x:c>
      <x:c r="C17" s="7" t="str">
        <x:v>Unread State</x:v>
      </x:c>
      <x:c r="D17" s="7" t="str">
        <x:v>Distinguish new/unread from already seen conversations</x:v>
      </x:c>
      <x:c r="E17" s="7" t="str">
        <x:v>Unread state should be visually obvious and persist per agent.</x:v>
      </x:c>
      <x:c r="F17" s="7" t="str">
        <x:v>No explicit unread/read indicator is evident in conversation list.</x:v>
      </x:c>
      <x:c r="G17" s="7" t="str">
        <x:v>Gap</x:v>
      </x:c>
      <x:c r="H17" s="7" t="str">
        <x:v>Add unread count/bold state and mark-as-read behavior.</x:v>
      </x:c>
      <x:c r="I17" s="7" t="str">
        <x:v>P0</x:v>
      </x:c>
      <x:c r="J17" s="7" t="str">
        <x:v>Complete without facilitator; SEQ ≥5/7</x:v>
      </x:c>
      <x:c r="K17" s="7" t="str">
        <x:v>Not Tested</x:v>
      </x:c>
      <x:c r="L17" s="7" t="str"/>
      <x:c r="M17" s="7" t="str"/>
      <x:c r="N17" s="7" t="str"/>
      <x:c r="O17" s="7" t="str"/>
      <x:c r="P17" s="7" t="str"/>
      <x:c r="Q17" s="7" t="str"/>
      <x:c r="R17" s="7" t="str"/>
      <x:c r="S17" s="7" t="str"/>
      <x:c r="T17" s="7" t="str">
        <x:v>R01</x:v>
      </x:c>
      <x:c r="U17" s="7"/>
      <x:c r="V17" s="48"/>
    </x:row>
    <x:row r="18">
      <x:c r="A18" s="7" t="str">
        <x:v>UX-134</x:v>
      </x:c>
      <x:c r="B18" s="7" t="str">
        <x:v>Inbox</x:v>
      </x:c>
      <x:c r="C18" s="7" t="str">
        <x:v>Assignment</x:v>
      </x:c>
      <x:c r="D18" s="7" t="str">
        <x:v>Know who owns the conversation</x:v>
      </x:c>
      <x:c r="E18" s="7" t="str">
        <x:v>Assignee should be visible; auto-assignment should be predictable and overridable by authorized users.</x:v>
      </x:c>
      <x:c r="F18" s="7" t="str">
        <x:v>Backend assigns CS using workload; current list/profile does not prominently display assignee.</x:v>
      </x:c>
      <x:c r="G18" s="7" t="str">
        <x:v>Partial</x:v>
      </x:c>
      <x:c r="H18" s="7" t="str">
        <x:v>Show assignee in header/profile and support reassignment/transfer with history.</x:v>
      </x:c>
      <x:c r="I18" s="7" t="str">
        <x:v>P1</x:v>
      </x:c>
      <x:c r="J18" s="7" t="str">
        <x:v>Complete without facilitator; SEQ ≥5/7</x:v>
      </x:c>
      <x:c r="K18" s="7" t="str">
        <x:v>Not Tested</x:v>
      </x:c>
      <x:c r="L18" s="7" t="str"/>
      <x:c r="M18" s="7" t="str"/>
      <x:c r="N18" s="7" t="str"/>
      <x:c r="O18" s="7" t="str"/>
      <x:c r="P18" s="7" t="str"/>
      <x:c r="Q18" s="7" t="str"/>
      <x:c r="R18" s="7" t="str"/>
      <x:c r="S18" s="7" t="str"/>
      <x:c r="T18" s="7" t="str">
        <x:v>R10,R12</x:v>
      </x:c>
      <x:c r="U18" s="7"/>
      <x:c r="V18" s="48"/>
    </x:row>
    <x:row r="19">
      <x:c r="A19" s="7" t="str">
        <x:v>UX-135</x:v>
      </x:c>
      <x:c r="B19" s="7" t="str">
        <x:v>Inbox</x:v>
      </x:c>
      <x:c r="C19" s="7" t="str">
        <x:v>Status</x:v>
      </x:c>
      <x:c r="D19" s="7" t="str">
        <x:v>Change Open/Pending/Resolved from conversation</x:v>
      </x:c>
      <x:c r="E19" s="7" t="str">
        <x:v>Agent must be able to resolve/reopen/snooze/wait without leaving context.</x:v>
      </x:c>
      <x:c r="F19" s="7" t="str">
        <x:v>Backend PATCH status exists, but current CS Inbox UI only displays status and exposes no status control.</x:v>
      </x:c>
      <x:c r="G19" s="7" t="str">
        <x:v>Gap</x:v>
      </x:c>
      <x:c r="H19" s="7" t="str">
        <x:v>Add status dropdown/actions in conversation header; include Resolved, Pending/Waiting, Reopen.</x:v>
      </x:c>
      <x:c r="I19" s="7" t="str">
        <x:v>P0</x:v>
      </x:c>
      <x:c r="J19" s="7" t="str">
        <x:v>Complete without facilitator; SEQ ≥5/7</x:v>
      </x:c>
      <x:c r="K19" s="7" t="str">
        <x:v>Not Tested</x:v>
      </x:c>
      <x:c r="L19" s="7" t="str"/>
      <x:c r="M19" s="7" t="str"/>
      <x:c r="N19" s="7" t="str"/>
      <x:c r="O19" s="7" t="str"/>
      <x:c r="P19" s="7" t="str"/>
      <x:c r="Q19" s="7" t="str"/>
      <x:c r="R19" s="7" t="str"/>
      <x:c r="S19" s="7" t="str"/>
      <x:c r="T19" s="7" t="str">
        <x:v>R01,R09</x:v>
      </x:c>
      <x:c r="U19" s="7"/>
      <x:c r="V19" s="48"/>
    </x:row>
    <x:row r="20">
      <x:c r="A20" s="7" t="str">
        <x:v>UX-136</x:v>
      </x:c>
      <x:c r="B20" s="7" t="str">
        <x:v>Inbox</x:v>
      </x:c>
      <x:c r="C20" s="7" t="str">
        <x:v>Reply</x:v>
      </x:c>
      <x:c r="D20" s="7" t="str">
        <x:v>Send a reply and see it immediately</x:v>
      </x:c>
      <x:c r="E20" s="7" t="str">
        <x:v>Reply should appear immediately with sending/sent/failed state, preserving draft on failure.</x:v>
      </x:c>
      <x:c r="F20" s="7" t="str">
        <x:v>Reply composer posts and refreshes conversation list.</x:v>
      </x:c>
      <x:c r="G20" s="7" t="str">
        <x:v>Partial</x:v>
      </x:c>
      <x:c r="H20" s="7" t="str">
        <x:v>Use optimistic message state + failure retry; preserve text if API fails.</x:v>
      </x:c>
      <x:c r="I20" s="7" t="str">
        <x:v>P0</x:v>
      </x:c>
      <x:c r="J20" s="7" t="str">
        <x:v>Complete without facilitator; SEQ ≥5/7</x:v>
      </x:c>
      <x:c r="K20" s="7" t="str">
        <x:v>Not Tested</x:v>
      </x:c>
      <x:c r="L20" s="7" t="str"/>
      <x:c r="M20" s="7" t="str"/>
      <x:c r="N20" s="7" t="str"/>
      <x:c r="O20" s="7" t="str"/>
      <x:c r="P20" s="7" t="str"/>
      <x:c r="Q20" s="7" t="str"/>
      <x:c r="R20" s="7" t="str"/>
      <x:c r="S20" s="7" t="str"/>
      <x:c r="T20" s="7" t="str">
        <x:v>R01</x:v>
      </x:c>
      <x:c r="U20" s="7"/>
      <x:c r="V20" s="48"/>
    </x:row>
    <x:row r="21">
      <x:c r="A21" s="7" t="str">
        <x:v>UX-137</x:v>
      </x:c>
      <x:c r="B21" s="7" t="str">
        <x:v>Inbox</x:v>
      </x:c>
      <x:c r="C21" s="7" t="str">
        <x:v>Customer Context</x:v>
      </x:c>
      <x:c r="D21" s="7" t="str">
        <x:v>Understand who the customer is</x:v>
      </x:c>
      <x:c r="E21" s="7" t="str">
        <x:v>Agent should see name, email, phone, channel and contact preferences without searching elsewhere.</x:v>
      </x:c>
      <x:c r="F21" s="7" t="str">
        <x:v>Profile shows name/email/phone/channel/status/created.</x:v>
      </x:c>
      <x:c r="G21" s="7" t="str">
        <x:v>Meets</x:v>
      </x:c>
      <x:c r="H21" s="7" t="str">
        <x:v>Add copy buttons and verified/consent/contact preference where applicable.</x:v>
      </x:c>
      <x:c r="I21" s="7" t="str">
        <x:v>P1</x:v>
      </x:c>
      <x:c r="J21" s="7" t="str">
        <x:v>Complete without facilitator; SEQ ≥5/7</x:v>
      </x:c>
      <x:c r="K21" s="7" t="str">
        <x:v>Not Tested</x:v>
      </x:c>
      <x:c r="L21" s="7" t="str"/>
      <x:c r="M21" s="7" t="str"/>
      <x:c r="N21" s="7" t="str"/>
      <x:c r="O21" s="7" t="str"/>
      <x:c r="P21" s="7" t="str"/>
      <x:c r="Q21" s="7" t="str"/>
      <x:c r="R21" s="7" t="str"/>
      <x:c r="S21" s="7" t="str"/>
      <x:c r="T21" s="7" t="str">
        <x:v>R01</x:v>
      </x:c>
      <x:c r="U21" s="7"/>
      <x:c r="V21" s="48"/>
    </x:row>
    <x:row r="22">
      <x:c r="A22" s="7" t="str">
        <x:v>UX-138</x:v>
      </x:c>
      <x:c r="B22" s="7" t="str">
        <x:v>Inbox</x:v>
      </x:c>
      <x:c r="C22" s="7" t="str">
        <x:v>Order Context</x:v>
      </x:c>
      <x:c r="D22" s="7" t="str">
        <x:v>Understand purchase/project without switching modules</x:v>
      </x:c>
      <x:c r="E22" s="7" t="str">
        <x:v>Support context should include order number, template, amount/payment status, assigned Designer and current tasks.</x:v>
      </x:c>
      <x:c r="F22" s="7" t="str">
        <x:v>Profile only exposes raw order_id plus basic conversation fields.</x:v>
      </x:c>
      <x:c r="G22" s="7" t="str">
        <x:v>Gap</x:v>
      </x:c>
      <x:c r="H22" s="7" t="str">
        <x:v>Embed order/template/payment/assigned Designer/task summary with deep links.</x:v>
      </x:c>
      <x:c r="I22" s="7" t="str">
        <x:v>P0</x:v>
      </x:c>
      <x:c r="J22" s="7" t="str">
        <x:v>Complete without facilitator; SEQ ≥5/7</x:v>
      </x:c>
      <x:c r="K22" s="7" t="str">
        <x:v>Not Tested</x:v>
      </x:c>
      <x:c r="L22" s="7" t="str"/>
      <x:c r="M22" s="7" t="str"/>
      <x:c r="N22" s="7" t="str"/>
      <x:c r="O22" s="7" t="str"/>
      <x:c r="P22" s="7" t="str"/>
      <x:c r="Q22" s="7" t="str"/>
      <x:c r="R22" s="7" t="str"/>
      <x:c r="S22" s="7" t="str"/>
      <x:c r="T22" s="7" t="str">
        <x:v>R01,R12</x:v>
      </x:c>
      <x:c r="U22" s="7"/>
      <x:c r="V22" s="48"/>
    </x:row>
    <x:row r="23">
      <x:c r="A23" s="7" t="str">
        <x:v>UX-139</x:v>
      </x:c>
      <x:c r="B23" s="7" t="str">
        <x:v>Inbox</x:v>
      </x:c>
      <x:c r="C23" s="7" t="str">
        <x:v>Conversation Events</x:v>
      </x:c>
      <x:c r="D23" s="7" t="str">
        <x:v>Know assignment/status/history changes</x:v>
      </x:c>
      <x:c r="E23" s="7" t="str">
        <x:v>A timeline should include status changes, assignment, tags and key workflow events.</x:v>
      </x:c>
      <x:c r="F23" s="7" t="str">
        <x:v>Only message bodies/timestamps are rendered.</x:v>
      </x:c>
      <x:c r="G23" s="7" t="str">
        <x:v>Gap</x:v>
      </x:c>
      <x:c r="H23" s="7" t="str">
        <x:v>Add conversation event timeline/audit events.</x:v>
      </x:c>
      <x:c r="I23" s="7" t="str">
        <x:v>P1</x:v>
      </x:c>
      <x:c r="J23" s="7" t="str">
        <x:v>Complete without facilitator; SEQ ≥5/7</x:v>
      </x:c>
      <x:c r="K23" s="7" t="str">
        <x:v>Not Tested</x:v>
      </x:c>
      <x:c r="L23" s="7" t="str"/>
      <x:c r="M23" s="7" t="str"/>
      <x:c r="N23" s="7" t="str"/>
      <x:c r="O23" s="7" t="str"/>
      <x:c r="P23" s="7" t="str"/>
      <x:c r="Q23" s="7" t="str"/>
      <x:c r="R23" s="7" t="str"/>
      <x:c r="S23" s="7" t="str"/>
      <x:c r="T23" s="7" t="str">
        <x:v>R12</x:v>
      </x:c>
      <x:c r="U23" s="7"/>
      <x:c r="V23" s="48"/>
    </x:row>
    <x:row r="24">
      <x:c r="A24" s="7" t="str">
        <x:v>UX-140</x:v>
      </x:c>
      <x:c r="B24" s="7" t="str">
        <x:v>Inbox</x:v>
      </x:c>
      <x:c r="C24" s="7" t="str">
        <x:v>Internal Notes</x:v>
      </x:c>
      <x:c r="D24" s="7" t="str">
        <x:v>Collaborate without sending note to customer</x:v>
      </x:c>
      <x:c r="E24" s="7" t="str">
        <x:v>Agents need internal notes for handoff/escalation.</x:v>
      </x:c>
      <x:c r="F24" s="7" t="str">
        <x:v>No internal-note mode is evident.</x:v>
      </x:c>
      <x:c r="G24" s="7" t="str">
        <x:v>Gap</x:v>
      </x:c>
      <x:c r="H24" s="7" t="str">
        <x:v>Add internal note with distinct visual treatment and author/timestamp.</x:v>
      </x:c>
      <x:c r="I24" s="7" t="str">
        <x:v>P1</x:v>
      </x:c>
      <x:c r="J24" s="7" t="str">
        <x:v>Complete without facilitator; SEQ ≥5/7</x:v>
      </x:c>
      <x:c r="K24" s="7" t="str">
        <x:v>Not Tested</x:v>
      </x:c>
      <x:c r="L24" s="7" t="str"/>
      <x:c r="M24" s="7" t="str"/>
      <x:c r="N24" s="7" t="str"/>
      <x:c r="O24" s="7" t="str"/>
      <x:c r="P24" s="7" t="str"/>
      <x:c r="Q24" s="7" t="str"/>
      <x:c r="R24" s="7" t="str"/>
      <x:c r="S24" s="7" t="str"/>
      <x:c r="T24" s="7" t="str">
        <x:v>R12</x:v>
      </x:c>
      <x:c r="U24" s="7"/>
      <x:c r="V24" s="48"/>
    </x:row>
    <x:row r="25">
      <x:c r="A25" s="7" t="str">
        <x:v>UX-141</x:v>
      </x:c>
      <x:c r="B25" s="7" t="str">
        <x:v>Inbox</x:v>
      </x:c>
      <x:c r="C25" s="7" t="str">
        <x:v>Tags</x:v>
      </x:c>
      <x:c r="D25" s="7" t="str">
        <x:v>Categorize conversations</x:v>
      </x:c>
      <x:c r="E25" s="7" t="str">
        <x:v>Tags/categories improve filtering, routing and reporting.</x:v>
      </x:c>
      <x:c r="F25" s="7" t="str">
        <x:v>No tag UI is evident.</x:v>
      </x:c>
      <x:c r="G25" s="7" t="str">
        <x:v>Gap</x:v>
      </x:c>
      <x:c r="H25" s="7" t="str">
        <x:v>Add tags with admin-managed taxonomy and filter support.</x:v>
      </x:c>
      <x:c r="I25" s="7" t="str">
        <x:v>P1</x:v>
      </x:c>
      <x:c r="J25" s="7" t="str">
        <x:v>Complete without facilitator; SEQ ≥5/7</x:v>
      </x:c>
      <x:c r="K25" s="7" t="str">
        <x:v>Not Tested</x:v>
      </x:c>
      <x:c r="L25" s="7" t="str"/>
      <x:c r="M25" s="7" t="str"/>
      <x:c r="N25" s="7" t="str"/>
      <x:c r="O25" s="7" t="str"/>
      <x:c r="P25" s="7" t="str"/>
      <x:c r="Q25" s="7" t="str"/>
      <x:c r="R25" s="7" t="str"/>
      <x:c r="S25" s="7" t="str"/>
      <x:c r="T25" s="7" t="str">
        <x:v>R09,R12</x:v>
      </x:c>
      <x:c r="U25" s="7"/>
      <x:c r="V25" s="48"/>
    </x:row>
    <x:row r="26">
      <x:c r="A26" s="7" t="str">
        <x:v>UX-142</x:v>
      </x:c>
      <x:c r="B26" s="7" t="str">
        <x:v>Inbox</x:v>
      </x:c>
      <x:c r="C26" s="7" t="str">
        <x:v>Canned Replies</x:v>
      </x:c>
      <x:c r="D26" s="7" t="str">
        <x:v>Answer repetitive questions efficiently</x:v>
      </x:c>
      <x:c r="E26" s="7" t="str">
        <x:v>Common replies should be available as macros/templates while remaining editable before send.</x:v>
      </x:c>
      <x:c r="F26" s="7" t="str">
        <x:v>No macro/canned reply UI is evident.</x:v>
      </x:c>
      <x:c r="G26" s="7" t="str">
        <x:v>Gap</x:v>
      </x:c>
      <x:c r="H26" s="7" t="str">
        <x:v>Add saved replies for onboarding, payment confirmation, content requests and follow-up.</x:v>
      </x:c>
      <x:c r="I26" s="7" t="str">
        <x:v>P1</x:v>
      </x:c>
      <x:c r="J26" s="7" t="str">
        <x:v>Complete without facilitator; SEQ ≥5/7</x:v>
      </x:c>
      <x:c r="K26" s="7" t="str">
        <x:v>Not Tested</x:v>
      </x:c>
      <x:c r="L26" s="7" t="str"/>
      <x:c r="M26" s="7" t="str"/>
      <x:c r="N26" s="7" t="str"/>
      <x:c r="O26" s="7" t="str"/>
      <x:c r="P26" s="7" t="str"/>
      <x:c r="Q26" s="7" t="str"/>
      <x:c r="R26" s="7" t="str"/>
      <x:c r="S26" s="7" t="str"/>
      <x:c r="T26" s="7" t="str">
        <x:v>R01</x:v>
      </x:c>
      <x:c r="U26" s="7"/>
      <x:c r="V26" s="48"/>
    </x:row>
    <x:row r="27">
      <x:c r="A27" s="7" t="str">
        <x:v>UX-143</x:v>
      </x:c>
      <x:c r="B27" s="7" t="str">
        <x:v>Inbox</x:v>
      </x:c>
      <x:c r="C27" s="7" t="str">
        <x:v>Snooze / Waiting</x:v>
      </x:c>
      <x:c r="D27" s="7" t="str">
        <x:v>Temporarily remove conversations awaiting customer action</x:v>
      </x:c>
      <x:c r="E27" s="7" t="str">
        <x:v>Agents should be able to snooze/wait and return the conversation at the right time.</x:v>
      </x:c>
      <x:c r="F27" s="7" t="str">
        <x:v>Task status has Waiting Customer, but conversation workflow has no snooze UI.</x:v>
      </x:c>
      <x:c r="G27" s="7" t="str">
        <x:v>Gap</x:v>
      </x:c>
      <x:c r="H27" s="7" t="str">
        <x:v>Add Waiting Customer/Snooze with due time and automatic resurfacing.</x:v>
      </x:c>
      <x:c r="I27" s="7" t="str">
        <x:v>P1</x:v>
      </x:c>
      <x:c r="J27" s="7" t="str">
        <x:v>Complete without facilitator; SEQ ≥5/7</x:v>
      </x:c>
      <x:c r="K27" s="7" t="str">
        <x:v>Not Tested</x:v>
      </x:c>
      <x:c r="L27" s="7" t="str"/>
      <x:c r="M27" s="7" t="str"/>
      <x:c r="N27" s="7" t="str"/>
      <x:c r="O27" s="7" t="str"/>
      <x:c r="P27" s="7" t="str"/>
      <x:c r="Q27" s="7" t="str"/>
      <x:c r="R27" s="7" t="str"/>
      <x:c r="S27" s="7" t="str"/>
      <x:c r="T27" s="7" t="str">
        <x:v>R09</x:v>
      </x:c>
      <x:c r="U27" s="7"/>
      <x:c r="V27" s="48"/>
    </x:row>
    <x:row r="28">
      <x:c r="A28" s="7" t="str">
        <x:v>UX-144</x:v>
      </x:c>
      <x:c r="B28" s="7" t="str">
        <x:v>Inbox</x:v>
      </x:c>
      <x:c r="C28" s="7" t="str">
        <x:v>Outbound</x:v>
      </x:c>
      <x:c r="D28" s="7" t="str">
        <x:v>Start a proactive message to Customer</x:v>
      </x:c>
      <x:c r="E28" s="7" t="str">
        <x:v>Outbound should select the correct customer, show project context and confirm sent state.</x:v>
      </x:c>
      <x:c r="F28" s="7" t="str">
        <x:v>Message User dialog selects user and sends Web/email-outbox message.</x:v>
      </x:c>
      <x:c r="G28" s="7" t="str">
        <x:v>Partial</x:v>
      </x:c>
      <x:c r="H28" s="7" t="str">
        <x:v>Add search in recipient selector and limit to role scope/assigned customers where appropriate.</x:v>
      </x:c>
      <x:c r="I28" s="7" t="str">
        <x:v>P1</x:v>
      </x:c>
      <x:c r="J28" s="7" t="str">
        <x:v>Complete without facilitator; SEQ ≥5/7</x:v>
      </x:c>
      <x:c r="K28" s="7" t="str">
        <x:v>Not Tested</x:v>
      </x:c>
      <x:c r="L28" s="7" t="str"/>
      <x:c r="M28" s="7" t="str"/>
      <x:c r="N28" s="7" t="str"/>
      <x:c r="O28" s="7" t="str"/>
      <x:c r="P28" s="7" t="str"/>
      <x:c r="Q28" s="7" t="str"/>
      <x:c r="R28" s="7" t="str"/>
      <x:c r="S28" s="7" t="str"/>
      <x:c r="T28" s="7" t="str">
        <x:v>R15,R16</x:v>
      </x:c>
      <x:c r="U28" s="7"/>
      <x:c r="V28" s="48"/>
    </x:row>
    <x:row r="29">
      <x:c r="A29" s="7" t="str">
        <x:v>UX-145</x:v>
      </x:c>
      <x:c r="B29" s="7" t="str">
        <x:v>Channels</x:v>
      </x:c>
      <x:c r="C29" s="7" t="str">
        <x:v>WhatsApp</x:v>
      </x:c>
      <x:c r="D29" s="7" t="str">
        <x:v>Contact customer via WhatsApp from captured phone</x:v>
      </x:c>
      <x:c r="E29" s="7" t="str">
        <x:v>If WhatsApp is an offered support channel, agent should have a clear action and audit the contact attempt.</x:v>
      </x:c>
      <x:c r="F29" s="7" t="str">
        <x:v>Phone is captured, but no direct WhatsApp action/integration is evident.</x:v>
      </x:c>
      <x:c r="G29" s="7" t="str">
        <x:v>Gap</x:v>
      </x:c>
      <x:c r="H29" s="7" t="str">
        <x:v>Add WhatsApp deep-link/integration with event logging, subject to consent/policy.</x:v>
      </x:c>
      <x:c r="I29" s="7" t="str">
        <x:v>P1</x:v>
      </x:c>
      <x:c r="J29" s="7" t="str">
        <x:v>Complete without facilitator; SEQ ≥5/7</x:v>
      </x:c>
      <x:c r="K29" s="7" t="str">
        <x:v>Not Tested</x:v>
      </x:c>
      <x:c r="L29" s="7" t="str"/>
      <x:c r="M29" s="7" t="str"/>
      <x:c r="N29" s="7" t="str"/>
      <x:c r="O29" s="7" t="str"/>
      <x:c r="P29" s="7" t="str"/>
      <x:c r="Q29" s="7" t="str"/>
      <x:c r="R29" s="7" t="str"/>
      <x:c r="S29" s="7" t="str"/>
      <x:c r="T29" s="7" t="str">
        <x:v>R01</x:v>
      </x:c>
      <x:c r="U29" s="7"/>
      <x:c r="V29" s="48"/>
    </x:row>
    <x:row r="30">
      <x:c r="A30" s="7" t="str">
        <x:v>UX-146</x:v>
      </x:c>
      <x:c r="B30" s="7" t="str">
        <x:v>Channels</x:v>
      </x:c>
      <x:c r="C30" s="7" t="str">
        <x:v>Email</x:v>
      </x:c>
      <x:c r="D30" s="7" t="str">
        <x:v>Know when reply/receipt email was sent or failed</x:v>
      </x:c>
      <x:c r="E30" s="7" t="str">
        <x:v>Agent should see delivery/outbox state for customer communications.</x:v>
      </x:c>
      <x:c r="F30" s="7" t="str">
        <x:v>Replies queue email but CS UI does not show email delivery state.</x:v>
      </x:c>
      <x:c r="G30" s="7" t="str">
        <x:v>Gap</x:v>
      </x:c>
      <x:c r="H30" s="7" t="str">
        <x:v>Expose relevant email outbox status/error on conversation/order timeline.</x:v>
      </x:c>
      <x:c r="I30" s="7" t="str">
        <x:v>P1</x:v>
      </x:c>
      <x:c r="J30" s="7" t="str">
        <x:v>Complete without facilitator; SEQ ≥5/7</x:v>
      </x:c>
      <x:c r="K30" s="7" t="str">
        <x:v>Not Tested</x:v>
      </x:c>
      <x:c r="L30" s="7" t="str"/>
      <x:c r="M30" s="7" t="str"/>
      <x:c r="N30" s="7" t="str"/>
      <x:c r="O30" s="7" t="str"/>
      <x:c r="P30" s="7" t="str"/>
      <x:c r="Q30" s="7" t="str"/>
      <x:c r="R30" s="7" t="str"/>
      <x:c r="S30" s="7" t="str"/>
      <x:c r="T30" s="7" t="str">
        <x:v>R01</x:v>
      </x:c>
      <x:c r="U30" s="7"/>
      <x:c r="V30" s="48"/>
    </x:row>
    <x:row r="31">
      <x:c r="A31" s="7" t="str">
        <x:v>UX-147</x:v>
      </x:c>
      <x:c r="B31" s="7" t="str">
        <x:v>Concurrency</x:v>
      </x:c>
      <x:c r="C31" s="7" t="str">
        <x:v>Collision</x:v>
      </x:c>
      <x:c r="D31" s="7" t="str">
        <x:v>Avoid two agents replying simultaneously</x:v>
      </x:c>
      <x:c r="E31" s="7" t="str">
        <x:v>Shared inbox should reveal when another teammate is viewing/typing/handling the conversation.</x:v>
      </x:c>
      <x:c r="F31" s="7" t="str">
        <x:v>No agent presence/collision detection is evident.</x:v>
      </x:c>
      <x:c r="G31" s="7" t="str">
        <x:v>Gap</x:v>
      </x:c>
      <x:c r="H31" s="7" t="str">
        <x:v>Add conversation lock/presence or at least 'currently handled by' state.</x:v>
      </x:c>
      <x:c r="I31" s="7" t="str">
        <x:v>P1</x:v>
      </x:c>
      <x:c r="J31" s="7" t="str">
        <x:v>Complete without facilitator; SEQ ≥5/7</x:v>
      </x:c>
      <x:c r="K31" s="7" t="str">
        <x:v>Not Tested</x:v>
      </x:c>
      <x:c r="L31" s="7" t="str"/>
      <x:c r="M31" s="7" t="str"/>
      <x:c r="N31" s="7" t="str"/>
      <x:c r="O31" s="7" t="str"/>
      <x:c r="P31" s="7" t="str"/>
      <x:c r="Q31" s="7" t="str"/>
      <x:c r="R31" s="7" t="str"/>
      <x:c r="S31" s="7" t="str"/>
      <x:c r="T31" s="7" t="str">
        <x:v>R01,R12</x:v>
      </x:c>
      <x:c r="U31" s="7"/>
      <x:c r="V31" s="48"/>
    </x:row>
    <x:row r="32">
      <x:c r="A32" s="7" t="str">
        <x:v>UX-148</x:v>
      </x:c>
      <x:c r="B32" s="7" t="str">
        <x:v>Tasks</x:v>
      </x:c>
      <x:c r="C32" s="7" t="str">
        <x:v>Task List</x:v>
      </x:c>
      <x:c r="D32" s="7" t="str">
        <x:v>See onboarding tasks relevant to CS</x:v>
      </x:c>
      <x:c r="E32" s="7" t="str">
        <x:v>CS tasks should show customer/order context, priority and next action.</x:v>
      </x:c>
      <x:c r="F32" s="7" t="str">
        <x:v>CS role has tasks.view/tasks.update and order-generated onboarding task.</x:v>
      </x:c>
      <x:c r="G32" s="7" t="str">
        <x:v>Meets</x:v>
      </x:c>
      <x:c r="H32" s="7" t="str">
        <x:v>Add due/SLA timing and direct link to conversation.</x:v>
      </x:c>
      <x:c r="I32" s="7" t="str">
        <x:v>P1</x:v>
      </x:c>
      <x:c r="J32" s="7" t="str">
        <x:v>Complete without facilitator; SEQ ≥5/7</x:v>
      </x:c>
      <x:c r="K32" s="7" t="str">
        <x:v>Not Tested</x:v>
      </x:c>
      <x:c r="L32" s="7" t="str"/>
      <x:c r="M32" s="7" t="str"/>
      <x:c r="N32" s="7" t="str"/>
      <x:c r="O32" s="7" t="str"/>
      <x:c r="P32" s="7" t="str"/>
      <x:c r="Q32" s="7" t="str"/>
      <x:c r="R32" s="7" t="str"/>
      <x:c r="S32" s="7" t="str"/>
      <x:c r="T32" s="7" t="str">
        <x:v>R01</x:v>
      </x:c>
      <x:c r="U32" s="7"/>
      <x:c r="V32" s="48"/>
    </x:row>
    <x:row r="33">
      <x:c r="A33" s="7" t="str">
        <x:v>UX-149</x:v>
      </x:c>
      <x:c r="B33" s="7" t="str">
        <x:v>Tasks</x:v>
      </x:c>
      <x:c r="C33" s="7" t="str">
        <x:v>Status</x:v>
      </x:c>
      <x:c r="D33" s="7" t="str">
        <x:v>Update task state quickly</x:v>
      </x:c>
      <x:c r="E33" s="7" t="str">
        <x:v>Task state should stay synchronized with support workflow and avoid duplicate status concepts.</x:v>
      </x:c>
      <x:c r="F33" s="7" t="str">
        <x:v>Task states are editable; conversation status is separate.</x:v>
      </x:c>
      <x:c r="G33" s="7" t="str">
        <x:v>Partial</x:v>
      </x:c>
      <x:c r="H33" s="7" t="str">
        <x:v>Define relationship between Task status and Conversation status to avoid conflicting states.</x:v>
      </x:c>
      <x:c r="I33" s="7" t="str">
        <x:v>P1</x:v>
      </x:c>
      <x:c r="J33" s="7" t="str">
        <x:v>Complete without facilitator; SEQ ≥5/7</x:v>
      </x:c>
      <x:c r="K33" s="7" t="str">
        <x:v>Not Tested</x:v>
      </x:c>
      <x:c r="L33" s="7" t="str"/>
      <x:c r="M33" s="7" t="str"/>
      <x:c r="N33" s="7" t="str"/>
      <x:c r="O33" s="7" t="str"/>
      <x:c r="P33" s="7" t="str"/>
      <x:c r="Q33" s="7" t="str"/>
      <x:c r="R33" s="7" t="str"/>
      <x:c r="S33" s="7" t="str"/>
      <x:c r="T33" s="7" t="str">
        <x:v>R01</x:v>
      </x:c>
      <x:c r="U33" s="7"/>
      <x:c r="V33" s="48"/>
    </x:row>
    <x:row r="34">
      <x:c r="A34" s="7" t="str">
        <x:v>UX-150</x:v>
      </x:c>
      <x:c r="B34" s="7" t="str">
        <x:v>Notifications</x:v>
      </x:c>
      <x:c r="C34" s="7" t="str">
        <x:v>New Chat/Task</x:v>
      </x:c>
      <x:c r="D34" s="7" t="str">
        <x:v>Notice new work without constant refreshing</x:v>
      </x:c>
      <x:c r="E34" s="7" t="str">
        <x:v>New work should trigger visible notification and optional audio, with an obvious mute preference.</x:v>
      </x:c>
      <x:c r="F34" s="7" t="str">
        <x:v>Polling-based task/chat count can trigger tone; mute is stored.</x:v>
      </x:c>
      <x:c r="G34" s="7" t="str">
        <x:v>Partial</x:v>
      </x:c>
      <x:c r="H34" s="7" t="str">
        <x:v>Add unread badge/desktop notification option and deep-link to the new item.</x:v>
      </x:c>
      <x:c r="I34" s="7" t="str">
        <x:v>P1</x:v>
      </x:c>
      <x:c r="J34" s="7" t="str">
        <x:v>Complete without facilitator; SEQ ≥5/7</x:v>
      </x:c>
      <x:c r="K34" s="7" t="str">
        <x:v>Not Tested</x:v>
      </x:c>
      <x:c r="L34" s="7" t="str"/>
      <x:c r="M34" s="7" t="str"/>
      <x:c r="N34" s="7" t="str"/>
      <x:c r="O34" s="7" t="str"/>
      <x:c r="P34" s="7" t="str"/>
      <x:c r="Q34" s="7" t="str"/>
      <x:c r="R34" s="7" t="str"/>
      <x:c r="S34" s="7" t="str"/>
      <x:c r="T34" s="7" t="str">
        <x:v>R01</x:v>
      </x:c>
      <x:c r="U34" s="7"/>
      <x:c r="V34" s="48"/>
    </x:row>
    <x:row r="35">
      <x:c r="A35" s="7" t="str">
        <x:v>UX-151</x:v>
      </x:c>
      <x:c r="B35" s="7" t="str">
        <x:v>Accessibility</x:v>
      </x:c>
      <x:c r="C35" s="7" t="str">
        <x:v>Keyboard</x:v>
      </x:c>
      <x:c r="D35" s="7" t="str">
        <x:v>Work inbox using keyboard</x:v>
      </x:c>
      <x:c r="E35" s="7" t="str">
        <x:v>Conversation list, search, reply, status and task actions should be keyboard operable with visible focus.</x:v>
      </x:c>
      <x:c r="F35" s="7" t="str">
        <x:v>No CS-specific keyboard audit exists.</x:v>
      </x:c>
      <x:c r="G35" s="7" t="str">
        <x:v>Needs User Test</x:v>
      </x:c>
      <x:c r="H35" s="7" t="str">
        <x:v>Run keyboard-only triage → reply → resolve → next conversation.</x:v>
      </x:c>
      <x:c r="I35" s="7" t="str">
        <x:v>P0</x:v>
      </x:c>
      <x:c r="J35" s="7" t="str">
        <x:v>Complete without facilitator; SEQ ≥5/7</x:v>
      </x:c>
      <x:c r="K35" s="7" t="str">
        <x:v>Not Tested</x:v>
      </x:c>
      <x:c r="L35" s="7" t="str"/>
      <x:c r="M35" s="7" t="str"/>
      <x:c r="N35" s="7" t="str"/>
      <x:c r="O35" s="7" t="str"/>
      <x:c r="P35" s="7" t="str"/>
      <x:c r="Q35" s="7" t="str"/>
      <x:c r="R35" s="7" t="str"/>
      <x:c r="S35" s="7" t="str"/>
      <x:c r="T35" s="7" t="str">
        <x:v>R03,R05</x:v>
      </x:c>
      <x:c r="U35" s="7"/>
      <x:c r="V35" s="48"/>
    </x:row>
    <x:row r="36">
      <x:c r="A36" s="7" t="str">
        <x:v>UX-152</x:v>
      </x:c>
      <x:c r="B36" s="7" t="str">
        <x:v>Privacy</x:v>
      </x:c>
      <x:c r="C36" s="7" t="str">
        <x:v>Minimal Exposure</x:v>
      </x:c>
      <x:c r="D36" s="7" t="str">
        <x:v>See only data required to support customer</x:v>
      </x:c>
      <x:c r="E36" s="7" t="str">
        <x:v>CS should not receive unrelated admin/user-management permissions.</x:v>
      </x:c>
      <x:c r="F36" s="7" t="str">
        <x:v>CS seed role contains CS dashboard/tasks/conversations/orders/articles view; no user/role management.</x:v>
      </x:c>
      <x:c r="G36" s="7" t="str">
        <x:v>Partial</x:v>
      </x:c>
      <x:c r="H36" s="7" t="str">
        <x:v>Review whether articles.view and full orders.view are necessary or whether contextual order view is enough.</x:v>
      </x:c>
      <x:c r="I36" s="7" t="str">
        <x:v>P1</x:v>
      </x:c>
      <x:c r="J36" s="7" t="str">
        <x:v>Complete without facilitator; SEQ ≥5/7</x:v>
      </x:c>
      <x:c r="K36" s="7" t="str">
        <x:v>Not Tested</x:v>
      </x:c>
      <x:c r="L36" s="7" t="str"/>
      <x:c r="M36" s="7" t="str"/>
      <x:c r="N36" s="7" t="str"/>
      <x:c r="O36" s="7" t="str"/>
      <x:c r="P36" s="7" t="str"/>
      <x:c r="Q36" s="7" t="str"/>
      <x:c r="R36" s="7" t="str"/>
      <x:c r="S36" s="7" t="str"/>
      <x:c r="T36" s="7" t="str">
        <x:v>R15,R16</x:v>
      </x:c>
      <x:c r="U36" s="7"/>
      <x:c r="V36" s="48"/>
    </x:row>
    <x:row r="37">
      <x:c r="V37" s="50"/>
    </x:row>
    <x:row r="38">
      <x:c r="V38" s="50"/>
    </x:row>
    <x:row r="39">
      <x:c r="V39" s="50"/>
    </x:row>
    <x:row r="40">
      <x:c r="V40" s="50"/>
    </x:row>
    <x:row r="41">
      <x:c r="V41" s="50"/>
    </x:row>
    <x:row r="42">
      <x:c r="V42" s="50"/>
    </x:row>
    <x:row r="43">
      <x:c r="V43" s="50"/>
    </x:row>
    <x:row r="44">
      <x:c r="V44" s="50"/>
    </x:row>
    <x:row r="45">
      <x:c r="V45" s="50"/>
    </x:row>
    <x:row r="46">
      <x:c r="V46" s="50"/>
    </x:row>
    <x:row r="47">
      <x:c r="V47" s="50"/>
    </x:row>
    <x:row r="48">
      <x:c r="V48" s="50"/>
    </x:row>
    <x:row r="49">
      <x:c r="V49" s="50"/>
    </x:row>
    <x:row r="50">
      <x:c r="V50" s="50"/>
    </x:row>
    <x:row r="51">
      <x:c r="V51" s="50"/>
    </x:row>
    <x:row r="52">
      <x:c r="V52" s="50"/>
    </x:row>
    <x:row r="53">
      <x:c r="V53" s="50"/>
    </x:row>
    <x:row r="54">
      <x:c r="V54" s="50"/>
    </x:row>
    <x:row r="55">
      <x:c r="V55" s="50"/>
    </x:row>
    <x:row r="56">
      <x:c r="V56" s="50"/>
    </x:row>
    <x:row r="57">
      <x:c r="V57" s="50"/>
    </x:row>
    <x:row r="58">
      <x:c r="V58" s="50"/>
    </x:row>
    <x:row r="59">
      <x:c r="V59" s="50"/>
    </x:row>
    <x:row r="60">
      <x:c r="V60" s="50"/>
    </x:row>
    <x:row r="61">
      <x:c r="V61" s="50"/>
    </x:row>
    <x:row r="62">
      <x:c r="V62" s="50"/>
    </x:row>
    <x:row r="63">
      <x:c r="V63" s="50"/>
    </x:row>
    <x:row r="64">
      <x:c r="V64" s="50"/>
    </x:row>
    <x:row r="65">
      <x:c r="V65" s="50"/>
    </x:row>
    <x:row r="66">
      <x:c r="V66" s="50"/>
    </x:row>
    <x:row r="67">
      <x:c r="V67" s="50"/>
    </x:row>
    <x:row r="68">
      <x:c r="V68" s="50"/>
    </x:row>
    <x:row r="69">
      <x:c r="V69" s="50"/>
    </x:row>
    <x:row r="70">
      <x:c r="V70" s="50"/>
    </x:row>
    <x:row r="71">
      <x:c r="V71" s="50"/>
    </x:row>
    <x:row r="72">
      <x:c r="V72" s="50"/>
    </x:row>
    <x:row r="73">
      <x:c r="V73" s="50"/>
    </x:row>
    <x:row r="74">
      <x:c r="V74" s="50"/>
    </x:row>
    <x:row r="75">
      <x:c r="V75" s="50"/>
    </x:row>
    <x:row r="76">
      <x:c r="V76" s="50"/>
    </x:row>
    <x:row r="77">
      <x:c r="V77" s="50"/>
    </x:row>
    <x:row r="78">
      <x:c r="V78" s="50"/>
    </x:row>
    <x:row r="79">
      <x:c r="V79" s="50"/>
    </x:row>
    <x:row r="80">
      <x:c r="V80" s="50"/>
    </x:row>
    <x:row r="81">
      <x:c r="V81" s="50"/>
    </x:row>
    <x:row r="82">
      <x:c r="V82" s="50"/>
    </x:row>
    <x:row r="83">
      <x:c r="V83" s="50"/>
    </x:row>
    <x:row r="84">
      <x:c r="V84" s="50"/>
    </x:row>
    <x:row r="85">
      <x:c r="V85" s="50"/>
    </x:row>
    <x:row r="86">
      <x:c r="V86" s="50"/>
    </x:row>
    <x:row r="87">
      <x:c r="V87" s="50"/>
    </x:row>
    <x:row r="88">
      <x:c r="V88" s="50"/>
    </x:row>
    <x:row r="89">
      <x:c r="V89" s="50"/>
    </x:row>
    <x:row r="90">
      <x:c r="V90" s="50"/>
    </x:row>
    <x:row r="91">
      <x:c r="V91" s="50"/>
    </x:row>
    <x:row r="92">
      <x:c r="V92" s="50"/>
    </x:row>
    <x:row r="93">
      <x:c r="V93" s="50"/>
    </x:row>
    <x:row r="94">
      <x:c r="V94" s="50"/>
    </x:row>
    <x:row r="95">
      <x:c r="V95" s="50"/>
    </x:row>
    <x:row r="96">
      <x:c r="V96" s="50"/>
    </x:row>
    <x:row r="97">
      <x:c r="V97" s="50"/>
    </x:row>
    <x:row r="98">
      <x:c r="V98" s="50"/>
    </x:row>
    <x:row r="99">
      <x:c r="V99" s="50"/>
    </x:row>
    <x:row r="100">
      <x:c r="V100" s="50"/>
    </x:row>
    <x:row r="101">
      <x:c r="V101" s="50"/>
    </x:row>
    <x:row r="102">
      <x:c r="V102" s="50"/>
    </x:row>
    <x:row r="103">
      <x:c r="V103" s="50"/>
    </x:row>
    <x:row r="104">
      <x:c r="V104" s="50"/>
    </x:row>
    <x:row r="105">
      <x:c r="V105" s="50"/>
    </x:row>
    <x:row r="106">
      <x:c r="V106" s="50"/>
    </x:row>
    <x:row r="107">
      <x:c r="V107" s="50"/>
    </x:row>
    <x:row r="108">
      <x:c r="V108" s="50"/>
    </x:row>
    <x:row r="109">
      <x:c r="V109" s="50"/>
    </x:row>
    <x:row r="110">
      <x:c r="V110" s="50"/>
    </x:row>
    <x:row r="111">
      <x:c r="V111" s="50"/>
    </x:row>
    <x:row r="112">
      <x:c r="V112" s="50"/>
    </x:row>
    <x:row r="113">
      <x:c r="V113" s="50"/>
    </x:row>
    <x:row r="114">
      <x:c r="V114" s="50"/>
    </x:row>
    <x:row r="115">
      <x:c r="V115" s="50"/>
    </x:row>
    <x:row r="116">
      <x:c r="V116" s="50"/>
    </x:row>
    <x:row r="117">
      <x:c r="V117" s="50"/>
    </x:row>
    <x:row r="118">
      <x:c r="V118" s="50"/>
    </x:row>
    <x:row r="119">
      <x:c r="V119" s="50"/>
    </x:row>
    <x:row r="120">
      <x:c r="V120" s="50"/>
    </x:row>
    <x:row r="121">
      <x:c r="V121" s="50"/>
    </x:row>
    <x:row r="122">
      <x:c r="V122" s="50"/>
    </x:row>
    <x:row r="123">
      <x:c r="V123" s="50"/>
    </x:row>
    <x:row r="124">
      <x:c r="V124" s="50"/>
    </x:row>
    <x:row r="125">
      <x:c r="V125" s="50"/>
    </x:row>
    <x:row r="126">
      <x:c r="V126" s="50"/>
    </x:row>
    <x:row r="127">
      <x:c r="V127" s="50"/>
    </x:row>
    <x:row r="128">
      <x:c r="V128" s="50"/>
    </x:row>
    <x:row r="129">
      <x:c r="V129" s="50"/>
    </x:row>
    <x:row r="130">
      <x:c r="V130" s="50"/>
    </x:row>
    <x:row r="131">
      <x:c r="V131" s="50"/>
    </x:row>
    <x:row r="132">
      <x:c r="V132" s="50"/>
    </x:row>
    <x:row r="133">
      <x:c r="V133" s="50"/>
    </x:row>
    <x:row r="134">
      <x:c r="V134" s="50"/>
    </x:row>
    <x:row r="135">
      <x:c r="V135" s="50"/>
    </x:row>
    <x:row r="136">
      <x:c r="V136" s="50"/>
    </x:row>
    <x:row r="137">
      <x:c r="V137" s="50"/>
    </x:row>
    <x:row r="138">
      <x:c r="V138" s="50"/>
    </x:row>
    <x:row r="139">
      <x:c r="V139" s="50"/>
    </x:row>
    <x:row r="140">
      <x:c r="V140" s="50"/>
    </x:row>
    <x:row r="141">
      <x:c r="V141" s="50"/>
    </x:row>
    <x:row r="142">
      <x:c r="V142" s="50"/>
    </x:row>
    <x:row r="143">
      <x:c r="V143" s="50"/>
    </x:row>
    <x:row r="144">
      <x:c r="V144" s="50"/>
    </x:row>
    <x:row r="145">
      <x:c r="V145" s="50"/>
    </x:row>
    <x:row r="146">
      <x:c r="V146" s="50"/>
    </x:row>
    <x:row r="147">
      <x:c r="V147" s="50"/>
    </x:row>
    <x:row r="148">
      <x:c r="V148" s="50"/>
    </x:row>
    <x:row r="149">
      <x:c r="V149" s="50"/>
    </x:row>
    <x:row r="150">
      <x:c r="V150" s="50"/>
    </x:row>
    <x:row r="151">
      <x:c r="V151" s="50"/>
    </x:row>
    <x:row r="152">
      <x:c r="V152" s="50"/>
    </x:row>
    <x:row r="153">
      <x:c r="V153" s="50"/>
    </x:row>
    <x:row r="154">
      <x:c r="V154" s="50"/>
    </x:row>
    <x:row r="155">
      <x:c r="V155" s="50"/>
    </x:row>
    <x:row r="156">
      <x:c r="V156" s="50"/>
    </x:row>
    <x:row r="157">
      <x:c r="V157" s="50"/>
    </x:row>
    <x:row r="158">
      <x:c r="V158" s="50"/>
    </x:row>
    <x:row r="159">
      <x:c r="V159" s="50"/>
    </x:row>
    <x:row r="160">
      <x:c r="V160" s="50"/>
    </x:row>
    <x:row r="161">
      <x:c r="V161" s="50"/>
    </x:row>
    <x:row r="162">
      <x:c r="V162" s="50"/>
    </x:row>
    <x:row r="163">
      <x:c r="V163" s="50"/>
    </x:row>
    <x:row r="164">
      <x:c r="V164" s="50"/>
    </x:row>
    <x:row r="165">
      <x:c r="V165" s="50"/>
    </x:row>
    <x:row r="166">
      <x:c r="V166" s="50"/>
    </x:row>
    <x:row r="167">
      <x:c r="V167" s="50"/>
    </x:row>
    <x:row r="168">
      <x:c r="V168" s="50"/>
    </x:row>
    <x:row r="169">
      <x:c r="V169" s="50"/>
    </x:row>
    <x:row r="170">
      <x:c r="V170" s="50"/>
    </x:row>
    <x:row r="171">
      <x:c r="V171" s="50"/>
    </x:row>
    <x:row r="172">
      <x:c r="V172" s="50"/>
    </x:row>
    <x:row r="173">
      <x:c r="V173" s="50"/>
    </x:row>
    <x:row r="174">
      <x:c r="V174" s="50"/>
    </x:row>
    <x:row r="175">
      <x:c r="V175" s="50"/>
    </x:row>
    <x:row r="176">
      <x:c r="V176" s="50"/>
    </x:row>
    <x:row r="177">
      <x:c r="V177" s="50"/>
    </x:row>
    <x:row r="178">
      <x:c r="V178" s="50"/>
    </x:row>
    <x:row r="179">
      <x:c r="V179" s="50"/>
    </x:row>
    <x:row r="180">
      <x:c r="V180" s="50"/>
    </x:row>
    <x:row r="181">
      <x:c r="V181" s="50"/>
    </x:row>
    <x:row r="182">
      <x:c r="V182" s="50"/>
    </x:row>
    <x:row r="183">
      <x:c r="V183" s="50"/>
    </x:row>
    <x:row r="184">
      <x:c r="V184" s="50"/>
    </x:row>
    <x:row r="185">
      <x:c r="V185" s="50"/>
    </x:row>
    <x:row r="186">
      <x:c r="V186" s="50"/>
    </x:row>
    <x:row r="187">
      <x:c r="V187" s="50"/>
    </x:row>
    <x:row r="188">
      <x:c r="V188" s="50"/>
    </x:row>
    <x:row r="189">
      <x:c r="V189" s="50"/>
    </x:row>
    <x:row r="190">
      <x:c r="V190" s="50"/>
    </x:row>
    <x:row r="191">
      <x:c r="V191" s="50"/>
    </x:row>
    <x:row r="192">
      <x:c r="V192" s="50"/>
    </x:row>
    <x:row r="193">
      <x:c r="V193" s="50"/>
    </x:row>
    <x:row r="194">
      <x:c r="V194" s="50"/>
    </x:row>
    <x:row r="195">
      <x:c r="V195" s="50"/>
    </x:row>
    <x:row r="196">
      <x:c r="V196" s="50"/>
    </x:row>
    <x:row r="197">
      <x:c r="V197" s="50"/>
    </x:row>
    <x:row r="198">
      <x:c r="V198" s="50"/>
    </x:row>
    <x:row r="199">
      <x:c r="V199" s="50"/>
    </x:row>
    <x:row r="200">
      <x:c r="V200" s="50"/>
    </x:row>
  </x:sheetData>
  <x:mergeCells>
    <x:mergeCell ref="A1:T1"/>
    <x:mergeCell ref="D3:H7"/>
  </x:mergeCells>
  <x:conditionalFormatting sqref="G10:G36">
    <x:cfRule type="expression" dxfId="30" priority="1">
      <x:formula>G10="Meets"</x:formula>
    </x:cfRule>
    <x:cfRule type="expression" dxfId="31" priority="2">
      <x:formula>G10="Partial"</x:formula>
    </x:cfRule>
    <x:cfRule type="expression" dxfId="32" priority="3">
      <x:formula>G10="Gap"</x:formula>
    </x:cfRule>
    <x:cfRule type="expression" dxfId="33" priority="4">
      <x:formula>G10="Needs User Test"</x:formula>
    </x:cfRule>
  </x:conditionalFormatting>
  <x:conditionalFormatting sqref="K10:K36">
    <x:cfRule type="expression" dxfId="34" priority="5">
      <x:formula>K10="Pass"</x:formula>
    </x:cfRule>
    <x:cfRule type="expression" dxfId="35" priority="6">
      <x:formula>K10="Fail"</x:formula>
    </x:cfRule>
  </x:conditionalFormatting>
  <x:dataValidations count="7">
    <x:dataValidation type="list" sqref="G10:G36">
      <x:formula1>"Meets,Partial,Gap,Needs User Test"</x:formula1>
    </x:dataValidation>
    <x:dataValidation type="list" sqref="I10:I36">
      <x:formula1>"P0,P1,P2"</x:formula1>
    </x:dataValidation>
    <x:dataValidation type="list" sqref="K10:K36">
      <x:formula1>"Not Tested,Pass,Fail,Blocked"</x:formula1>
    </x:dataValidation>
    <x:dataValidation type="list" sqref="L10:L36">
      <x:formula1>"Yes,No,N/A"</x:formula1>
    </x:dataValidation>
    <x:dataValidation type="list" sqref="O10:O36">
      <x:formula1>"None,Hint,Direct"</x:formula1>
    </x:dataValidation>
    <x:dataValidation type="list" sqref="P10:P36">
      <x:formula1>"1,2,3,4,5,6,7"</x:formula1>
    </x:dataValidation>
    <x:dataValidation type="list" sqref="Q10:Q36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afdf9e49bb4f29"/>
  </x:tableParts>
</x:worksheet>
</file>

<file path=xl/worksheets/sheet13.xml><?xml version="1.0" encoding="utf-8"?>
<x:worksheet xmlns:x="http://schemas.openxmlformats.org/spreadsheetml/2006/main">
  <x:sheetFormatPr defaultRowHeight="15"/>
  <x:sheetData>
    <x:row r="1" ht="28" customHeight="1">
      <x:c r="A1" s="3" t="str">
        <x:v>Pre-Audit Status</x:v>
      </x:c>
      <x:c r="B1" s="3" t="str">
        <x:v>Tester Result</x:v>
      </x:c>
      <x:c r="C1" s="3" t="str">
        <x:v>Task Success</x:v>
      </x:c>
      <x:c r="D1" s="3" t="str">
        <x:v>Assistance</x:v>
      </x:c>
      <x:c r="E1" s="3" t="str">
        <x:v>Priority</x:v>
      </x:c>
      <x:c r="F1" s="3" t="str">
        <x:v>SEQ</x:v>
      </x:c>
    </x:row>
    <x:row r="2">
      <x:c r="A2" t="str">
        <x:v>Meets</x:v>
      </x:c>
      <x:c r="B2" t="str">
        <x:v>Not Tested</x:v>
      </x:c>
      <x:c r="C2" t="str">
        <x:v>Yes</x:v>
      </x:c>
      <x:c r="D2" t="str">
        <x:v>None</x:v>
      </x:c>
      <x:c r="E2" t="str">
        <x:v>P0</x:v>
      </x:c>
      <x:c r="F2" t="str">
        <x:v>1</x:v>
      </x:c>
    </x:row>
    <x:row r="3">
      <x:c r="A3" t="str">
        <x:v>Partial</x:v>
      </x:c>
      <x:c r="B3" t="str">
        <x:v>Pass</x:v>
      </x:c>
      <x:c r="C3" t="str">
        <x:v>No</x:v>
      </x:c>
      <x:c r="D3" t="str">
        <x:v>Hint</x:v>
      </x:c>
      <x:c r="E3" t="str">
        <x:v>P1</x:v>
      </x:c>
      <x:c r="F3" t="str">
        <x:v>2</x:v>
      </x:c>
    </x:row>
    <x:row r="4">
      <x:c r="A4" t="str">
        <x:v>Gap</x:v>
      </x:c>
      <x:c r="B4" t="str">
        <x:v>Fail</x:v>
      </x:c>
      <x:c r="C4" t="str">
        <x:v>N/A</x:v>
      </x:c>
      <x:c r="D4" t="str">
        <x:v>Direct</x:v>
      </x:c>
      <x:c r="E4" t="str">
        <x:v>P2</x:v>
      </x:c>
      <x:c r="F4" t="str">
        <x:v>3</x:v>
      </x:c>
    </x:row>
    <x:row r="5">
      <x:c r="A5" t="str">
        <x:v>Needs User Test</x:v>
      </x:c>
      <x:c r="B5" t="str">
        <x:v>Blocked</x:v>
      </x:c>
      <x:c r="C5" t="str"/>
      <x:c r="D5" t="str"/>
      <x:c r="E5" t="str"/>
      <x:c r="F5" t="str">
        <x:v>4</x:v>
      </x:c>
    </x:row>
    <x:row r="6">
      <x:c r="A6" t="str"/>
      <x:c r="B6" t="str"/>
      <x:c r="C6" t="str"/>
      <x:c r="D6" t="str"/>
      <x:c r="E6" t="str"/>
      <x:c r="F6" t="str">
        <x:v>5</x:v>
      </x:c>
    </x:row>
    <x:row r="7">
      <x:c r="A7" t="str"/>
      <x:c r="B7" t="str"/>
      <x:c r="C7" t="str"/>
      <x:c r="D7" t="str"/>
      <x:c r="E7" t="str"/>
      <x:c r="F7" t="str">
        <x:v>6</x:v>
      </x:c>
    </x:row>
    <x:row r="8">
      <x:c r="A8" t="str"/>
      <x:c r="B8" t="str"/>
      <x:c r="C8" t="str"/>
      <x:c r="D8" t="str"/>
      <x:c r="E8" t="str"/>
      <x:c r="F8" t="str">
        <x:v>7</x:v>
      </x:c>
    </x:row>
    <x:row r="9">
      <x:c r="A9" t="str"/>
      <x:c r="B9" t="str"/>
      <x:c r="C9" t="str"/>
      <x:c r="D9" t="str"/>
      <x:c r="E9" t="str"/>
      <x:c r="F9" t="str"/>
    </x:row>
    <x:row r="10">
      <x:c r="A10" t="str"/>
      <x:c r="B10" t="str"/>
      <x:c r="C10" t="str"/>
      <x:c r="D10" t="str"/>
      <x:c r="E10" t="str"/>
      <x:c r="F10" t="str"/>
    </x:row>
  </x:sheetData>
  <x:pageMargins left="0.7" right="0.7" top="0.75" bottom="0.75" header="0.3" footer="0.3"/>
</x:worksheet>
</file>