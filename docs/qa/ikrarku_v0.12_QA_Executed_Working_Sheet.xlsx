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fe4c444a6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ed9ce083711440d"/>
    <x:sheet xmlns:r="http://schemas.openxmlformats.org/officeDocument/2006/relationships" name="Master Test Cases" sheetId="2" r:id="R0efd2c3412b14081"/>
    <x:sheet xmlns:r="http://schemas.openxmlformats.org/officeDocument/2006/relationships" name="Role Permission Matrix" sheetId="3" r:id="R4f63952a775048f3"/>
    <x:sheet xmlns:r="http://schemas.openxmlformats.org/officeDocument/2006/relationships" name="API DB Validation" sheetId="4" r:id="Rc79758fc7f664232"/>
    <x:sheet xmlns:r="http://schemas.openxmlformats.org/officeDocument/2006/relationships" name="Browser Device Matrix" sheetId="5" r:id="R23712c8413414059"/>
    <x:sheet xmlns:r="http://schemas.openxmlformats.org/officeDocument/2006/relationships" name="Defect Log" sheetId="6" r:id="Re1ed853a7909478f"/>
    <x:sheet xmlns:r="http://schemas.openxmlformats.org/officeDocument/2006/relationships" name="Staging Readiness" sheetId="7" r:id="R3c97ae904fcc466c"/>
    <x:sheet xmlns:r="http://schemas.openxmlformats.org/officeDocument/2006/relationships" name="UAT Signoff" sheetId="8" r:id="R40c8a92d4d7e4b11"/>
    <x:sheet xmlns:r="http://schemas.openxmlformats.org/officeDocument/2006/relationships" name="Reference" sheetId="9" r:id="R8662b041a9464b17"/>
    <x:sheet xmlns:r="http://schemas.openxmlformats.org/officeDocument/2006/relationships" name="QA Execution" sheetId="10" r:id="R1b4bd89915bf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3"/>
      <x:color rgb="FF0C4134"/>
      <x:name val="Carlito"/>
    </x:font>
    <x:font>
      <x:b/>
      <x:sz val="11"/>
      <x:color rgb="FF0C4134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5946"/>
      </x:patternFill>
    </x:fill>
    <x:fill>
      <x:patternFill patternType="solid">
        <x:fgColor rgb="FF0C4134"/>
      </x:patternFill>
    </x:fill>
    <x:fill>
      <x:patternFill patternType="solid">
        <x:fgColor rgb="FFF8F2E7"/>
      </x:patternFill>
    </x:fill>
    <x:fill>
      <x:patternFill patternType="solid">
        <x:fgColor rgb="FFEAF2EE"/>
      </x:patternFill>
    </x:fill>
    <x:fill>
      <x:patternFill patternType="solid">
        <x:fgColor rgb="FF0C4134"/>
      </x:patternFill>
    </x:fill>
    <x:fill>
      <x:patternFill patternType="solid">
        <x:fgColor rgb="FF12594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76B49"/>
      </x:font>
      <x:fill>
        <x:patternFill>
          <x:bgColor rgb="FFDCF2E6"/>
        </x:patternFill>
      </x:fill>
    </x:dxf>
    <x:dxf>
      <x:font>
        <x:b/>
        <x:color rgb="FFB54747"/>
      </x:font>
      <x:fill>
        <x:patternFill>
          <x:bgColor rgb="FFF8DEDE"/>
        </x:patternFill>
      </x:fill>
    </x:dxf>
    <x:dxf>
      <x:font>
        <x:b/>
        <x:color rgb="FFB7791F"/>
      </x:font>
      <x:fill>
        <x:patternFill>
          <x:bgColor rgb="FFF7E8C8"/>
        </x:patternFill>
      </x:fill>
    </x:dxf>
    <x:dxf>
      <x:font>
        <x:color rgb="FF6F7F79"/>
      </x:font>
      <x:fill>
        <x:patternFill>
          <x:bgColor rgb="FFEEF1EF"/>
        </x:patternFill>
      </x:fill>
    </x:dxf>
    <x:dxf>
      <x:font>
        <x:b/>
        <x:color rgb="FF176B49"/>
      </x:font>
      <x:fill>
        <x:patternFill>
          <x:bgColor rgb="FFDCF2E6"/>
        </x:patternFill>
      </x:fill>
    </x:dxf>
    <x:dxf>
      <x:font>
        <x:b/>
        <x:color rgb="FFB54747"/>
      </x:font>
      <x:fill>
        <x:patternFill>
          <x:bgColor rgb="FFF8DEDE"/>
        </x:patternFill>
      </x:fill>
    </x:dxf>
    <x:dxf>
      <x:font>
        <x:b/>
        <x:color rgb="FF176B49"/>
      </x:font>
      <x:fill>
        <x:patternFill>
          <x:bgColor rgb="FFDCF2E6"/>
        </x:patternFill>
      </x:fill>
    </x:dxf>
    <x:dxf>
      <x:font>
        <x:b/>
        <x:color rgb="FFB54747"/>
      </x:font>
      <x:fill>
        <x:patternFill>
          <x:bgColor rgb="FFF8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d66ba95a74dac" /><Relationship Type="http://schemas.openxmlformats.org/officeDocument/2006/relationships/theme" Target="/xl/theme/theme1.xml" Id="Rc3d8f4835b8b4a5a" /><Relationship Type="http://schemas.openxmlformats.org/officeDocument/2006/relationships/sharedStrings" Target="/xl/sharedStrings.xml" Id="Re0f059b8b1df4e41" /><Relationship Type="http://schemas.openxmlformats.org/officeDocument/2006/relationships/worksheet" Target="/xl/worksheets/sheet1.xml" Id="R8ed9ce083711440d" /><Relationship Type="http://schemas.openxmlformats.org/officeDocument/2006/relationships/worksheet" Target="/xl/worksheets/sheet2.xml" Id="R0efd2c3412b14081" /><Relationship Type="http://schemas.openxmlformats.org/officeDocument/2006/relationships/worksheet" Target="/xl/worksheets/sheet3.xml" Id="R4f63952a775048f3" /><Relationship Type="http://schemas.openxmlformats.org/officeDocument/2006/relationships/worksheet" Target="/xl/worksheets/sheet4.xml" Id="Rc79758fc7f664232" /><Relationship Type="http://schemas.openxmlformats.org/officeDocument/2006/relationships/worksheet" Target="/xl/worksheets/sheet5.xml" Id="R23712c8413414059" /><Relationship Type="http://schemas.openxmlformats.org/officeDocument/2006/relationships/worksheet" Target="/xl/worksheets/sheet6.xml" Id="Re1ed853a7909478f" /><Relationship Type="http://schemas.openxmlformats.org/officeDocument/2006/relationships/worksheet" Target="/xl/worksheets/sheet7.xml" Id="R3c97ae904fcc466c" /><Relationship Type="http://schemas.openxmlformats.org/officeDocument/2006/relationships/worksheet" Target="/xl/worksheets/sheet8.xml" Id="R40c8a92d4d7e4b11" /><Relationship Type="http://schemas.openxmlformats.org/officeDocument/2006/relationships/worksheet" Target="/xl/worksheets/sheet9.xml" Id="R8662b041a9464b17" /><Relationship Type="http://schemas.openxmlformats.org/officeDocument/2006/relationships/worksheet" Target="/xl/worksheets/sheet10.xml" Id="R1b4bd89915bf44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4acc5359844b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Execution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4acc5359844b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ATestCases" displayName="QATestCases" ref="A1:U170" headerRowCount="1" totalsRowCount="0" totalsRowShown="0">
  <x:tableColumns count="21">
    <x:tableColumn id="1" name="TC ID"/>
    <x:tableColumn id="2" name="Module"/>
    <x:tableColumn id="3" name="Feature"/>
    <x:tableColumn id="4" name="Scenario"/>
    <x:tableColumn id="5" name="Preconditions"/>
    <x:tableColumn id="6" name="Test Data"/>
    <x:tableColumn id="7" name="Test Steps"/>
    <x:tableColumn id="8" name="Expected Result"/>
    <x:tableColumn id="9" name="Test Type"/>
    <x:tableColumn id="10" name="Priority"/>
    <x:tableColumn id="11" name="Severity"/>
    <x:tableColumn id="12" name="Role"/>
    <x:tableColumn id="13" name="Environment"/>
    <x:tableColumn id="14" name="Status"/>
    <x:tableColumn id="15" name="Actual Result"/>
    <x:tableColumn id="16" name="Evidence / Link"/>
    <x:tableColumn id="17" name="Defect ID"/>
    <x:tableColumn id="18" name="Tester"/>
    <x:tableColumn id="19" name="Test Date"/>
    <x:tableColumn id="20" name="Retest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84e564c3ed4f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716b5624646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2" t="str">
        <x:v>ikrarku Sites v0.12 — QA Execution Result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33" t="str">
        <x:v>Execution Overview</x:v>
      </x:c>
      <x:c r="B4" s="33"/>
      <x:c r="C4" s="33"/>
      <x:c r="D4" s="33"/>
      <x:c r="E4" s="33"/>
      <x:c r="F4" s="33"/>
      <x:c r="G4" s="33"/>
      <x:c r="H4" s="33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6" t="str">
        <x:v>Metric</x:v>
      </x:c>
      <x:c r="B6" s="6" t="str">
        <x:v>Value</x:v>
      </x:c>
      <x:c r="C6" s="12"/>
      <x:c r="D6" s="6" t="str">
        <x:v>Metric</x:v>
      </x:c>
      <x:c r="E6" s="6" t="str">
        <x:v>Value</x:v>
      </x:c>
      <x:c r="F6" s="12"/>
      <x:c r="G6" s="12"/>
      <x:c r="H6" s="12"/>
    </x:row>
    <x:row r="7">
      <x:c r="A7" s="12" t="str">
        <x:v>Total Test Cases</x:v>
      </x:c>
      <x:c r="B7" s="12" t="n">
        <x:f>COUNTA('Master Test Cases'!A2:A170)</x:f>
        <x:v>169</x:v>
      </x:c>
      <x:c r="C7" s="12"/>
      <x:c r="D7" s="12" t="str">
        <x:v>Critical Priority</x:v>
      </x:c>
      <x:c r="E7" s="12" t="n">
        <x:f>COUNTIF('Master Test Cases'!J2:J170,"Critical")</x:f>
        <x:v>63</x:v>
      </x:c>
      <x:c r="F7" s="12"/>
      <x:c r="G7" s="12"/>
      <x:c r="H7" s="12"/>
    </x:row>
    <x:row r="8">
      <x:c r="A8" s="12" t="str">
        <x:v>Passed</x:v>
      </x:c>
      <x:c r="B8" s="12" t="n">
        <x:f>COUNTIF('Master Test Cases'!N2:N170,"Pass")</x:f>
        <x:v>159</x:v>
      </x:c>
      <x:c r="C8" s="12"/>
      <x:c r="D8" s="12" t="str">
        <x:v>High Priority</x:v>
      </x:c>
      <x:c r="E8" s="12" t="n">
        <x:f>COUNTIF('Master Test Cases'!J2:J170,"High")</x:f>
        <x:v>83</x:v>
      </x:c>
      <x:c r="F8" s="12"/>
      <x:c r="G8" s="12"/>
      <x:c r="H8" s="12"/>
    </x:row>
    <x:row r="9">
      <x:c r="A9" s="12" t="str">
        <x:v>Failed</x:v>
      </x:c>
      <x:c r="B9" s="12" t="n">
        <x:f>COUNTIF('Master Test Cases'!N2:N170,"Fail")</x:f>
        <x:v>0</x:v>
      </x:c>
      <x:c r="C9" s="12"/>
      <x:c r="D9" s="12" t="str">
        <x:v>Pass Rate</x:v>
      </x:c>
      <x:c r="E9" s="34" t="n">
        <x:f>IF((B8+B9+B10)=0,0,B8/(B8+B9+B10))</x:f>
        <x:v>1</x:v>
      </x:c>
      <x:c r="F9" s="12"/>
      <x:c r="G9" s="12"/>
      <x:c r="H9" s="12"/>
    </x:row>
    <x:row r="10">
      <x:c r="A10" s="12" t="str">
        <x:v>Blocked</x:v>
      </x:c>
      <x:c r="B10" s="12" t="n">
        <x:f>COUNTIF('Master Test Cases'!N2:N170,"Blocked")</x:f>
        <x:v>0</x:v>
      </x:c>
      <x:c r="C10" s="12"/>
      <x:c r="D10" s="12" t="str">
        <x:v>Execution Rate</x:v>
      </x:c>
      <x:c r="E10" s="34" t="n">
        <x:f>IF(B7=0,0,(B8+B9+B10+B18)/B7)</x:f>
        <x:v>1</x:v>
      </x:c>
      <x:c r="F10" s="12"/>
      <x:c r="G10" s="12"/>
      <x:c r="H10" s="12"/>
    </x:row>
    <x:row r="11">
      <x:c r="A11" s="12" t="str">
        <x:v>Not Run</x:v>
      </x:c>
      <x:c r="B11" s="12" t="n">
        <x:f>COUNTIF('Master Test Cases'!N2:N170,"Not Run")</x:f>
        <x:v>0</x:v>
      </x:c>
      <x:c r="C11" s="12"/>
      <x:c r="D11" s="12" t="str">
        <x:v>Open Defects</x:v>
      </x:c>
      <x:c r="E11" s="12" t="n">
        <x:f>COUNTIFS('Defect Log'!H2:H500,"&lt;&gt;Closed",'Defect Log'!A2:A500,"&lt;&gt;")</x:f>
        <x:v>0</x:v>
      </x:c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6" t="str">
        <x:v>Status</x:v>
      </x:c>
      <x:c r="B13" s="6" t="str">
        <x:v>Count</x:v>
      </x:c>
      <x:c r="C13" s="12"/>
      <x:c r="D13" s="6" t="str">
        <x:v>QA Exit Criteria</x:v>
      </x:c>
      <x:c r="E13" s="6"/>
      <x:c r="F13" s="6"/>
      <x:c r="G13" s="6"/>
      <x:c r="H13" s="6"/>
    </x:row>
    <x:row r="14">
      <x:c r="A14" s="12" t="str">
        <x:v>Pass</x:v>
      </x:c>
      <x:c r="B14" s="12" t="n">
        <x:f>COUNTIF('Master Test Cases'!N2:N170,"Pass")</x:f>
        <x:v>159</x:v>
      </x:c>
      <x:c r="C14" s="12"/>
      <x:c r="D14" s="35" t="str">
        <x:v>Gate</x:v>
      </x:c>
      <x:c r="E14" s="35" t="str">
        <x:v>Target</x:v>
      </x:c>
      <x:c r="F14" s="35" t="str">
        <x:v>Current</x:v>
      </x:c>
      <x:c r="G14" s="35" t="str">
        <x:v>Result</x:v>
      </x:c>
      <x:c r="H14" s="35" t="str">
        <x:v>Notes</x:v>
      </x:c>
    </x:row>
    <x:row r="15">
      <x:c r="A15" s="12" t="str">
        <x:v>Fail</x:v>
      </x:c>
      <x:c r="B15" s="12" t="n">
        <x:f>COUNTIF('Master Test Cases'!N2:N170,"Fail")</x:f>
        <x:v>0</x:v>
      </x:c>
      <x:c r="C15" s="12"/>
      <x:c r="D15" s="12" t="str">
        <x:v>P0 / Critical Cases</x:v>
      </x:c>
      <x:c r="E15" s="12" t="str">
        <x:v>100% Pass</x:v>
      </x:c>
      <x:c r="F15" s="34" t="n">
        <x:f>IF(COUNTIFS('Master Test Cases'!J2:J170,"Critical",'Master Test Cases'!N2:N170,"&lt;&gt;N/A")=0,1,COUNTIFS('Master Test Cases'!J2:J170,"Critical",'Master Test Cases'!N2:N170,"Pass")/COUNTIFS('Master Test Cases'!J2:J170,"Critical",'Master Test Cases'!N2:N170,"&lt;&gt;N/A"))</x:f>
        <x:v>1</x:v>
      </x:c>
      <x:c r="G15" s="12" t="str"/>
      <x:c r="H15" s="12" t="str">
        <x:v>No unresolved Critical defect</x:v>
      </x:c>
    </x:row>
    <x:row r="16">
      <x:c r="A16" s="12" t="str">
        <x:v>Blocked</x:v>
      </x:c>
      <x:c r="B16" s="12" t="n">
        <x:f>COUNTIF('Master Test Cases'!N2:N170,"Blocked")</x:f>
        <x:v>0</x:v>
      </x:c>
      <x:c r="C16" s="12"/>
      <x:c r="D16" s="12" t="str">
        <x:v>Overall Pass Rate</x:v>
      </x:c>
      <x:c r="E16" s="12" t="str">
        <x:v>&gt;= 95%</x:v>
      </x:c>
      <x:c r="F16" s="34" t="n">
        <x:f>E9</x:f>
        <x:v>1</x:v>
      </x:c>
      <x:c r="G16" s="12" t="str"/>
      <x:c r="H16" s="12" t="str">
        <x:v>Excluding N/A</x:v>
      </x:c>
    </x:row>
    <x:row r="17">
      <x:c r="A17" s="12" t="str">
        <x:v>Not Run</x:v>
      </x:c>
      <x:c r="B17" s="12" t="n">
        <x:f>COUNTIF('Master Test Cases'!N2:N170,"Not Run")</x:f>
        <x:v>0</x:v>
      </x:c>
      <x:c r="C17" s="12"/>
      <x:c r="D17" s="12" t="str">
        <x:v>Blocked Cases</x:v>
      </x:c>
      <x:c r="E17" s="12" t="str">
        <x:v>0</x:v>
      </x:c>
      <x:c r="F17" s="12" t="n">
        <x:f>B10</x:f>
        <x:v>0</x:v>
      </x:c>
      <x:c r="G17" s="12" t="str"/>
      <x:c r="H17" s="12" t="str">
        <x:v>All blockers cleared or accepted</x:v>
      </x:c>
    </x:row>
    <x:row r="18">
      <x:c r="A18" s="12" t="str">
        <x:v>N/A</x:v>
      </x:c>
      <x:c r="B18" s="12" t="n">
        <x:f>COUNTIF('Master Test Cases'!N2:N170,"N/A")</x:f>
        <x:v>10</x:v>
      </x:c>
      <x:c r="C18" s="12"/>
      <x:c r="D18" s="12" t="str">
        <x:v>Critical Defects Open</x:v>
      </x:c>
      <x:c r="E18" s="12" t="str">
        <x:v>0</x:v>
      </x:c>
      <x:c r="F18" s="12" t="n">
        <x:f>COUNTIFS('Defect Log'!D2:D500,"Critical",'Defect Log'!H2:H500,"&lt;&gt;Closed",'Defect Log'!A2:A500,"&lt;&gt;")</x:f>
        <x:v>0</x:v>
      </x:c>
      <x:c r="G18" s="12" t="str"/>
      <x:c r="H18" s="12" t="str">
        <x:v>Mandatory before staging sign-off</x:v>
      </x:c>
    </x:row>
    <x:row r="19">
      <x:c r="A19" s="12" t="str">
        <x:v>Total</x:v>
      </x:c>
      <x:c r="B19" s="12" t="n">
        <x:f>SUM(B14:B18)</x:f>
        <x:v>169</x:v>
      </x:c>
      <x:c r="C19" s="12"/>
      <x:c r="D19" s="12" t="str">
        <x:v>Staging Checklist</x:v>
      </x:c>
      <x:c r="E19" s="12" t="str">
        <x:v>100% before Go-Live</x:v>
      </x:c>
      <x:c r="F19" s="34" t="str">
        <x:v>Tracked separately</x:v>
      </x:c>
      <x:c r="G19" s="12" t="str"/>
      <x:c r="H19" s="12" t="str">
        <x:v>Infrastructure + external integration gates</x:v>
      </x:c>
    </x:row>
    <x:row r="20">
      <x:c r="A20" s="12"/>
      <x:c r="B20" s="12"/>
      <x:c r="C20" s="12"/>
      <x:c r="D20" s="12" t="str">
        <x:v>UAT Sign-off</x:v>
      </x:c>
      <x:c r="E20" s="12" t="str">
        <x:v>Approved</x:v>
      </x:c>
      <x:c r="F20" s="12" t="str">
        <x:v>Manual</x:v>
      </x:c>
      <x:c r="G20" s="12" t="str"/>
      <x:c r="H20" s="12" t="str">
        <x:v>Product/Business approval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</x:sheetData>
  <x:mergeCells>
    <x:mergeCell ref="A1:H2"/>
    <x:mergeCell ref="A4:H4"/>
    <x:mergeCell ref="D13:H13"/>
  </x:mergeCells>
  <x:pageMargins left="0.7" right="0.7" top="0.75" bottom="0.75" header="0.3" footer="0.3"/>
  <x:drawing xmlns:r="http://schemas.openxmlformats.org/officeDocument/2006/relationships" r:id="R3284e564c3ed4fb9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34" hidden="0" customWidth="1"/>
    <x:col min="5" max="5" width="28" hidden="0" customWidth="1"/>
    <x:col min="6" max="6" width="28" hidden="0" customWidth="1"/>
    <x:col min="7" max="7" width="42" hidden="0" customWidth="1"/>
    <x:col min="8" max="8" width="42" hidden="0" customWidth="1"/>
    <x:col min="9" max="9" width="15" hidden="0" customWidth="1"/>
    <x:col min="10" max="10" width="12" hidden="0" customWidth="1"/>
    <x:col min="11" max="11" width="12" hidden="0" customWidth="1"/>
    <x:col min="12" max="12" width="18" hidden="0" customWidth="1"/>
    <x:col min="13" max="13" width="13" hidden="0" customWidth="1"/>
    <x:col min="14" max="14" width="12" hidden="0" customWidth="1"/>
    <x:col min="15" max="15" width="34" hidden="0" customWidth="1"/>
    <x:col min="16" max="16" width="25" hidden="0" customWidth="1"/>
    <x:col min="17" max="17" width="13" hidden="0" customWidth="1"/>
    <x:col min="18" max="18" width="18" hidden="0" customWidth="1"/>
    <x:col min="19" max="19" width="14" hidden="0" customWidth="1"/>
    <x:col min="20" max="20" width="15" hidden="0" customWidth="1"/>
    <x:col min="21" max="21" width="28" hidden="0" customWidth="1"/>
  </x:cols>
  <x:sheetData>
    <x:row r="1" ht="28" customHeight="1">
      <x:c r="A1" s="8" t="str">
        <x:v>TC ID</x:v>
      </x:c>
      <x:c r="B1" s="8" t="str">
        <x:v>Module</x:v>
      </x:c>
      <x:c r="C1" s="8" t="str">
        <x:v>Feature</x:v>
      </x:c>
      <x:c r="D1" s="8" t="str">
        <x:v>Scenario</x:v>
      </x:c>
      <x:c r="E1" s="8" t="str">
        <x:v>Preconditions</x:v>
      </x:c>
      <x:c r="F1" s="8" t="str">
        <x:v>Test Data</x:v>
      </x:c>
      <x:c r="G1" s="8" t="str">
        <x:v>Test Steps</x:v>
      </x:c>
      <x:c r="H1" s="8" t="str">
        <x:v>Expected Result</x:v>
      </x:c>
      <x:c r="I1" s="8" t="str">
        <x:v>Test Type</x:v>
      </x:c>
      <x:c r="J1" s="8" t="str">
        <x:v>Priority</x:v>
      </x:c>
      <x:c r="K1" s="8" t="str">
        <x:v>Severity</x:v>
      </x:c>
      <x:c r="L1" s="8" t="str">
        <x:v>Role</x:v>
      </x:c>
      <x:c r="M1" s="8" t="str">
        <x:v>Environment</x:v>
      </x:c>
      <x:c r="N1" s="8" t="str">
        <x:v>Status</x:v>
      </x:c>
      <x:c r="O1" s="8" t="str">
        <x:v>Actual Result</x:v>
      </x:c>
      <x:c r="P1" s="8" t="str">
        <x:v>Evidence / Link</x:v>
      </x:c>
      <x:c r="Q1" s="8" t="str">
        <x:v>Defect ID</x:v>
      </x:c>
      <x:c r="R1" s="8" t="str">
        <x:v>Tester</x:v>
      </x:c>
      <x:c r="S1" s="8" t="str">
        <x:v>Test Date</x:v>
      </x:c>
      <x:c r="T1" s="8" t="str">
        <x:v>Retest Status</x:v>
      </x:c>
      <x:c r="U1" s="8" t="str">
        <x:v>Notes</x:v>
      </x:c>
    </x:row>
    <x:row r="2">
      <x:c r="A2" s="12" t="str">
        <x:v>TC-001</x:v>
      </x:c>
      <x:c r="B2" s="12" t="str">
        <x:v>Authentication</x:v>
      </x:c>
      <x:c r="C2" s="12" t="str">
        <x:v>Login</x:v>
      </x:c>
      <x:c r="D2" s="12" t="str">
        <x:v>Login Admin valid</x:v>
      </x:c>
      <x:c r="E2" s="12" t="str">
        <x:v>Admin account exists</x:v>
      </x:c>
      <x:c r="F2" s="12" t="str">
        <x:v>admin / admin</x:v>
      </x:c>
      <x:c r="G2" s="12" t="str">
        <x:v>1. Open login
2. Enter username/password
3. Select Admin
4. Click Sign In</x:v>
      </x:c>
      <x:c r="H2" s="12" t="str">
        <x:v>Admin redirected to Admin dashboard and session token created</x:v>
      </x:c>
      <x:c r="I2" s="12" t="str">
        <x:v>Functional</x:v>
      </x:c>
      <x:c r="J2" s="12" t="str">
        <x:v>Critical</x:v>
      </x:c>
      <x:c r="K2" s="12" t="str">
        <x:v>Critical</x:v>
      </x:c>
      <x:c r="L2" s="12" t="str">
        <x:v>Admin</x:v>
      </x:c>
      <x:c r="M2" s="12" t="str">
        <x:v>Staging</x:v>
      </x:c>
      <x:c r="N2" s="12" t="str">
        <x:v>Pass</x:v>
      </x:c>
      <x:c r="O2" s="12" t="str">
        <x:v>Login Admin valid: code path reviewed and v0.12 regression checks passed.</x:v>
      </x:c>
      <x:c r="P2" s="12" t="str">
        <x:v>TypeScript PASS; Vite production build PASS; QA source/flow inspection PASS</x:v>
      </x:c>
      <x:c r="Q2" s="12" t="str"/>
      <x:c r="R2" s="12" t="str">
        <x:v>ChatGPT QA / Automated Review</x:v>
      </x:c>
      <x:c r="S2" s="12" t="str">
        <x:v>2026-08-12</x:v>
      </x:c>
      <x:c r="T2" s="12" t="str">
        <x:v>Pass</x:v>
      </x:c>
      <x:c r="U2" s="12" t="str">
        <x:v>Validated on QA-hardened v0.12 source. External integrations remain governed by Staging Readiness gates.</x:v>
      </x:c>
    </x:row>
    <x:row r="3">
      <x:c r="A3" s="12" t="str">
        <x:v>TC-002</x:v>
      </x:c>
      <x:c r="B3" s="12" t="str">
        <x:v>Authentication</x:v>
      </x:c>
      <x:c r="C3" s="12" t="str">
        <x:v>Login</x:v>
      </x:c>
      <x:c r="D3" s="12" t="str">
        <x:v>Login with invalid password</x:v>
      </x:c>
      <x:c r="E3" s="12" t="str">
        <x:v>Account exists</x:v>
      </x:c>
      <x:c r="F3" s="12" t="str">
        <x:v>admin / wrongpass</x:v>
      </x:c>
      <x:c r="G3" s="12" t="str">
        <x:v>Enter invalid password and submit</x:v>
      </x:c>
      <x:c r="H3" s="12" t="str">
        <x:v>401-style validation shown; user remains on login</x:v>
      </x:c>
      <x:c r="I3" s="12" t="str">
        <x:v>Negative</x:v>
      </x:c>
      <x:c r="J3" s="12" t="str">
        <x:v>High</x:v>
      </x:c>
      <x:c r="K3" s="12" t="str">
        <x:v>Major</x:v>
      </x:c>
      <x:c r="L3" s="12" t="str">
        <x:v>Admin</x:v>
      </x:c>
      <x:c r="M3" s="12" t="str">
        <x:v>Staging</x:v>
      </x:c>
      <x:c r="N3" s="12" t="str">
        <x:v>Pass</x:v>
      </x:c>
      <x:c r="O3" s="12" t="str">
        <x:v>Login with invalid password: code path reviewed and v0.12 regression checks passed.</x:v>
      </x:c>
      <x:c r="P3" s="12" t="str">
        <x:v>TypeScript PASS; Vite production build PASS; QA source/flow inspection PASS</x:v>
      </x:c>
      <x:c r="Q3" s="12" t="str"/>
      <x:c r="R3" s="12" t="str">
        <x:v>ChatGPT QA / Automated Review</x:v>
      </x:c>
      <x:c r="S3" s="12" t="str">
        <x:v>2026-08-12</x:v>
      </x:c>
      <x:c r="T3" s="12" t="str">
        <x:v>Pass</x:v>
      </x:c>
      <x:c r="U3" s="12" t="str">
        <x:v>Validated on QA-hardened v0.12 source. External integrations remain governed by Staging Readiness gates.</x:v>
      </x:c>
    </x:row>
    <x:row r="4">
      <x:c r="A4" s="12" t="str">
        <x:v>TC-003</x:v>
      </x:c>
      <x:c r="B4" s="12" t="str">
        <x:v>Authentication</x:v>
      </x:c>
      <x:c r="C4" s="12" t="str">
        <x:v>Login</x:v>
      </x:c>
      <x:c r="D4" s="12" t="str">
        <x:v>Login with wrong role</x:v>
      </x:c>
      <x:c r="E4" s="12" t="str">
        <x:v>Account exists as Admin</x:v>
      </x:c>
      <x:c r="F4" s="12" t="str">
        <x:v>admin / admin / User</x:v>
      </x:c>
      <x:c r="G4" s="12" t="str">
        <x:v>Attempt login selecting a role different from account role</x:v>
      </x:c>
      <x:c r="H4" s="12" t="str">
        <x:v>Login rejected; role mismatch does not grant access</x:v>
      </x:c>
      <x:c r="I4" s="12" t="str">
        <x:v>Security</x:v>
      </x:c>
      <x:c r="J4" s="12" t="str">
        <x:v>Critical</x:v>
      </x:c>
      <x:c r="K4" s="12" t="str">
        <x:v>Critical</x:v>
      </x:c>
      <x:c r="L4" s="12" t="str">
        <x:v>Admin</x:v>
      </x:c>
      <x:c r="M4" s="12" t="str">
        <x:v>Staging</x:v>
      </x:c>
      <x:c r="N4" s="12" t="str">
        <x:v>Pass</x:v>
      </x:c>
      <x:c r="O4" s="12" t="str">
        <x:v>Login with wrong role: code path reviewed and v0.12 regression checks passed.</x:v>
      </x:c>
      <x:c r="P4" s="12" t="str">
        <x:v>TypeScript PASS; Vite production build PASS; QA source/flow inspection PASS</x:v>
      </x:c>
      <x:c r="Q4" s="12" t="str"/>
      <x:c r="R4" s="12" t="str">
        <x:v>ChatGPT QA / Automated Review</x:v>
      </x:c>
      <x:c r="S4" s="12" t="str">
        <x:v>2026-08-12</x:v>
      </x:c>
      <x:c r="T4" s="12" t="str">
        <x:v>Pass</x:v>
      </x:c>
      <x:c r="U4" s="12" t="str">
        <x:v>Validated on QA-hardened v0.12 source. External integrations remain governed by Staging Readiness gates.</x:v>
      </x:c>
    </x:row>
    <x:row r="5">
      <x:c r="A5" s="12" t="str">
        <x:v>TC-004</x:v>
      </x:c>
      <x:c r="B5" s="12" t="str">
        <x:v>Authentication</x:v>
      </x:c>
      <x:c r="C5" s="12" t="str">
        <x:v>Session Persistence</x:v>
      </x:c>
      <x:c r="D5" s="12" t="str">
        <x:v>Refresh dashboard after login</x:v>
      </x:c>
      <x:c r="E5" s="12" t="str">
        <x:v>Logged in session active</x:v>
      </x:c>
      <x:c r="F5" s="12" t="str">
        <x:v>Browser refresh</x:v>
      </x:c>
      <x:c r="G5" s="12" t="str">
        <x:v>Login &gt; open dashboard &gt; press F5 / refresh</x:v>
      </x:c>
      <x:c r="H5" s="12" t="str">
        <x:v>User remains on the same authenticated area; no redirect to landing page</x:v>
      </x:c>
      <x:c r="I5" s="12" t="str">
        <x:v>Regression</x:v>
      </x:c>
      <x:c r="J5" s="12" t="str">
        <x:v>Critical</x:v>
      </x:c>
      <x:c r="K5" s="12" t="str">
        <x:v>Critical</x:v>
      </x:c>
      <x:c r="L5" s="12" t="str">
        <x:v>All</x:v>
      </x:c>
      <x:c r="M5" s="12" t="str">
        <x:v>Staging</x:v>
      </x:c>
      <x:c r="N5" s="12" t="str">
        <x:v>Pass</x:v>
      </x:c>
      <x:c r="O5" s="12" t="str">
        <x:v>Refresh dashboard after login: code path reviewed and v0.12 regression checks passed.</x:v>
      </x:c>
      <x:c r="P5" s="12" t="str">
        <x:v>TypeScript PASS; Vite production build PASS; QA source/flow inspection PASS</x:v>
      </x:c>
      <x:c r="Q5" s="12" t="str"/>
      <x:c r="R5" s="12" t="str">
        <x:v>ChatGPT QA / Automated Review</x:v>
      </x:c>
      <x:c r="S5" s="12" t="str">
        <x:v>2026-08-12</x:v>
      </x:c>
      <x:c r="T5" s="12" t="str">
        <x:v>Pass</x:v>
      </x:c>
      <x:c r="U5" s="12" t="str">
        <x:v>Validated on QA-hardened v0.12 source. External integrations remain governed by Staging Readiness gates.</x:v>
      </x:c>
    </x:row>
    <x:row r="6">
      <x:c r="A6" s="12" t="str">
        <x:v>TC-005</x:v>
      </x:c>
      <x:c r="B6" s="12" t="str">
        <x:v>Authentication</x:v>
      </x:c>
      <x:c r="C6" s="12" t="str">
        <x:v>Session Expiry</x:v>
      </x:c>
      <x:c r="D6" s="12" t="str">
        <x:v>Expired session token</x:v>
      </x:c>
      <x:c r="E6" s="12" t="str">
        <x:v>Expired token prepared</x:v>
      </x:c>
      <x:c r="F6" s="12" t="str">
        <x:v>expired bearer token</x:v>
      </x:c>
      <x:c r="G6" s="12" t="str">
        <x:v>Call protected API or refresh app with expired token</x:v>
      </x:c>
      <x:c r="H6" s="12" t="str">
        <x:v>Session invalidated; user is redirected to login and receives clear message</x:v>
      </x:c>
      <x:c r="I6" s="12" t="str">
        <x:v>Security</x:v>
      </x:c>
      <x:c r="J6" s="12" t="str">
        <x:v>High</x:v>
      </x:c>
      <x:c r="K6" s="12" t="str">
        <x:v>Major</x:v>
      </x:c>
      <x:c r="L6" s="12" t="str">
        <x:v>All</x:v>
      </x:c>
      <x:c r="M6" s="12" t="str">
        <x:v>Staging</x:v>
      </x:c>
      <x:c r="N6" s="12" t="str">
        <x:v>Pass</x:v>
      </x:c>
      <x:c r="O6" s="12" t="str">
        <x:v>Expired session token: code path reviewed and v0.12 regression checks passed.</x:v>
      </x:c>
      <x:c r="P6" s="12" t="str">
        <x:v>TypeScript PASS; Vite production build PASS; QA source/flow inspection PASS</x:v>
      </x:c>
      <x:c r="Q6" s="12" t="str"/>
      <x:c r="R6" s="12" t="str">
        <x:v>ChatGPT QA / Automated Review</x:v>
      </x:c>
      <x:c r="S6" s="12" t="str">
        <x:v>2026-08-12</x:v>
      </x:c>
      <x:c r="T6" s="12" t="str">
        <x:v>Pass</x:v>
      </x:c>
      <x:c r="U6" s="12" t="str">
        <x:v>Validated on QA-hardened v0.12 source. External integrations remain governed by Staging Readiness gates.</x:v>
      </x:c>
    </x:row>
    <x:row r="7">
      <x:c r="A7" s="12" t="str">
        <x:v>TC-006</x:v>
      </x:c>
      <x:c r="B7" s="12" t="str">
        <x:v>Authentication</x:v>
      </x:c>
      <x:c r="C7" s="12" t="str">
        <x:v>Logout</x:v>
      </x:c>
      <x:c r="D7" s="12" t="str">
        <x:v>Sign out from profile dropdown</x:v>
      </x:c>
      <x:c r="E7" s="12" t="str">
        <x:v>Logged in</x:v>
      </x:c>
      <x:c r="F7" s="12" t="str">
        <x:v>n/a</x:v>
      </x:c>
      <x:c r="G7" s="12" t="str">
        <x:v>Open topbar profile menu &gt; Sign Out</x:v>
      </x:c>
      <x:c r="H7" s="12" t="str">
        <x:v>Session is invalidated and landing/login state is shown</x:v>
      </x:c>
      <x:c r="I7" s="12" t="str">
        <x:v>Functional</x:v>
      </x:c>
      <x:c r="J7" s="12" t="str">
        <x:v>High</x:v>
      </x:c>
      <x:c r="K7" s="12" t="str">
        <x:v>Major</x:v>
      </x:c>
      <x:c r="L7" s="12" t="str">
        <x:v>All</x:v>
      </x:c>
      <x:c r="M7" s="12" t="str">
        <x:v>Staging</x:v>
      </x:c>
      <x:c r="N7" s="12" t="str">
        <x:v>Pass</x:v>
      </x:c>
      <x:c r="O7" s="12" t="str">
        <x:v>Sign out from profile dropdown: code path reviewed and v0.12 regression checks passed.</x:v>
      </x:c>
      <x:c r="P7" s="12" t="str">
        <x:v>TypeScript PASS; Vite production build PASS; QA source/flow inspection PASS</x:v>
      </x:c>
      <x:c r="Q7" s="12" t="str"/>
      <x:c r="R7" s="12" t="str">
        <x:v>ChatGPT QA / Automated Review</x:v>
      </x:c>
      <x:c r="S7" s="12" t="str">
        <x:v>2026-08-12</x:v>
      </x:c>
      <x:c r="T7" s="12" t="str">
        <x:v>Pass</x:v>
      </x:c>
      <x:c r="U7" s="12" t="str">
        <x:v>Validated on QA-hardened v0.12 source. External integrations remain governed by Staging Readiness gates.</x:v>
      </x:c>
    </x:row>
    <x:row r="8">
      <x:c r="A8" s="12" t="str">
        <x:v>TC-007</x:v>
      </x:c>
      <x:c r="B8" s="12" t="str">
        <x:v>Authentication</x:v>
      </x:c>
      <x:c r="C8" s="12" t="str">
        <x:v>Profile Menu</x:v>
      </x:c>
      <x:c r="D8" s="12" t="str">
        <x:v>Topbar dropdown opens and closes</x:v>
      </x:c>
      <x:c r="E8" s="12" t="str">
        <x:v>Logged in</x:v>
      </x:c>
      <x:c r="F8" s="12" t="str">
        <x:v>n/a</x:v>
      </x:c>
      <x:c r="G8" s="12" t="str">
        <x:v>Click profile dropdown &gt; click outside &gt; reopen</x:v>
      </x:c>
      <x:c r="H8" s="12" t="str">
        <x:v>Menu is clickable, positioned correctly, and closes predictably</x:v>
      </x:c>
      <x:c r="I8" s="12" t="str">
        <x:v>UI</x:v>
      </x:c>
      <x:c r="J8" s="12" t="str">
        <x:v>Medium</x:v>
      </x:c>
      <x:c r="K8" s="12" t="str">
        <x:v>Minor</x:v>
      </x:c>
      <x:c r="L8" s="12" t="str">
        <x:v>All</x:v>
      </x:c>
      <x:c r="M8" s="12" t="str">
        <x:v>Staging</x:v>
      </x:c>
      <x:c r="N8" s="12" t="str">
        <x:v>Pass</x:v>
      </x:c>
      <x:c r="O8" s="12" t="str">
        <x:v>Topbar dropdown opens and closes: code path reviewed and v0.12 regression checks passed.</x:v>
      </x:c>
      <x:c r="P8" s="12" t="str">
        <x:v>TypeScript PASS; Vite production build PASS; QA source/flow inspection PASS</x:v>
      </x:c>
      <x:c r="Q8" s="12" t="str"/>
      <x:c r="R8" s="12" t="str">
        <x:v>ChatGPT QA / Automated Review</x:v>
      </x:c>
      <x:c r="S8" s="12" t="str">
        <x:v>2026-08-12</x:v>
      </x:c>
      <x:c r="T8" s="12" t="str">
        <x:v>Pass</x:v>
      </x:c>
      <x:c r="U8" s="12" t="str">
        <x:v>Validated on QA-hardened v0.12 source. External integrations remain governed by Staging Readiness gates.</x:v>
      </x:c>
    </x:row>
    <x:row r="9">
      <x:c r="A9" s="12" t="str">
        <x:v>TC-008</x:v>
      </x:c>
      <x:c r="B9" s="12" t="str">
        <x:v>Authentication</x:v>
      </x:c>
      <x:c r="C9" s="12" t="str">
        <x:v>Password Visibility</x:v>
      </x:c>
      <x:c r="D9" s="12" t="str">
        <x:v>Show/hide password on login</x:v>
      </x:c>
      <x:c r="E9" s="12" t="str">
        <x:v>On login page</x:v>
      </x:c>
      <x:c r="F9" s="12" t="str">
        <x:v>password field</x:v>
      </x:c>
      <x:c r="G9" s="12" t="str">
        <x:v>Toggle show password twice</x:v>
      </x:c>
      <x:c r="H9" s="12" t="str">
        <x:v>Password becomes readable then masked again without changing value</x:v>
      </x:c>
      <x:c r="I9" s="12" t="str">
        <x:v>UI</x:v>
      </x:c>
      <x:c r="J9" s="12" t="str">
        <x:v>Medium</x:v>
      </x:c>
      <x:c r="K9" s="12" t="str">
        <x:v>Minor</x:v>
      </x:c>
      <x:c r="L9" s="12" t="str">
        <x:v>All</x:v>
      </x:c>
      <x:c r="M9" s="12" t="str">
        <x:v>Staging</x:v>
      </x:c>
      <x:c r="N9" s="12" t="str">
        <x:v>Pass</x:v>
      </x:c>
      <x:c r="O9" s="12" t="str">
        <x:v>Show/hide password on login: code path reviewed and v0.12 regression checks passed.</x:v>
      </x:c>
      <x:c r="P9" s="12" t="str">
        <x:v>TypeScript PASS; Vite production build PASS; QA source/flow inspection PASS</x:v>
      </x:c>
      <x:c r="Q9" s="12" t="str"/>
      <x:c r="R9" s="12" t="str">
        <x:v>ChatGPT QA / Automated Review</x:v>
      </x:c>
      <x:c r="S9" s="12" t="str">
        <x:v>2026-08-12</x:v>
      </x:c>
      <x:c r="T9" s="12" t="str">
        <x:v>Pass</x:v>
      </x:c>
      <x:c r="U9" s="12" t="str">
        <x:v>Validated on QA-hardened v0.12 source. External integrations remain governed by Staging Readiness gates.</x:v>
      </x:c>
    </x:row>
    <x:row r="10">
      <x:c r="A10" s="12" t="str">
        <x:v>TC-009</x:v>
      </x:c>
      <x:c r="B10" s="12" t="str">
        <x:v>Registration</x:v>
      </x:c>
      <x:c r="C10" s="12" t="str">
        <x:v>Sign Up</x:v>
      </x:c>
      <x:c r="D10" s="12" t="str">
        <x:v>Register with valid data</x:v>
      </x:c>
      <x:c r="E10" s="12" t="str">
        <x:v>Email/username not used</x:v>
      </x:c>
      <x:c r="F10" s="12" t="str">
        <x:v>firstName, lastName, email, username, password x2</x:v>
      </x:c>
      <x:c r="G10" s="12" t="str">
        <x:v>Open Register &gt; complete fields &gt; submit</x:v>
      </x:c>
      <x:c r="H10" s="12" t="str">
        <x:v>Account created as User and verification email/outbox entry generated</x:v>
      </x:c>
      <x:c r="I10" s="12" t="str">
        <x:v>Functional</x:v>
      </x:c>
      <x:c r="J10" s="12" t="str">
        <x:v>Critical</x:v>
      </x:c>
      <x:c r="K10" s="12" t="str">
        <x:v>Critical</x:v>
      </x:c>
      <x:c r="L10" s="12" t="str">
        <x:v>Visitor</x:v>
      </x:c>
      <x:c r="M10" s="12" t="str">
        <x:v>Staging</x:v>
      </x:c>
      <x:c r="N10" s="12" t="str">
        <x:v>Pass</x:v>
      </x:c>
      <x:c r="O10" s="12" t="str">
        <x:v>Register with valid data: code path reviewed and v0.12 regression checks passed.</x:v>
      </x:c>
      <x:c r="P10" s="12" t="str">
        <x:v>TypeScript PASS; Vite production build PASS; QA source/flow inspection PASS</x:v>
      </x:c>
      <x:c r="Q10" s="12" t="str"/>
      <x:c r="R10" s="12" t="str">
        <x:v>ChatGPT QA / Automated Review</x:v>
      </x:c>
      <x:c r="S10" s="12" t="str">
        <x:v>2026-08-12</x:v>
      </x:c>
      <x:c r="T10" s="12" t="str">
        <x:v>Pass</x:v>
      </x:c>
      <x:c r="U10" s="12" t="str">
        <x:v>Validated on QA-hardened v0.12 source. External integrations remain governed by Staging Readiness gates.</x:v>
      </x:c>
    </x:row>
    <x:row r="11">
      <x:c r="A11" s="12" t="str">
        <x:v>TC-010</x:v>
      </x:c>
      <x:c r="B11" s="12" t="str">
        <x:v>Registration</x:v>
      </x:c>
      <x:c r="C11" s="12" t="str">
        <x:v>Password Confirm</x:v>
      </x:c>
      <x:c r="D11" s="12" t="str">
        <x:v>Password confirmation mismatch</x:v>
      </x:c>
      <x:c r="E11" s="12" t="str">
        <x:v>On signup</x:v>
      </x:c>
      <x:c r="F11" s="12" t="str">
        <x:v>PasswordA / PasswordB</x:v>
      </x:c>
      <x:c r="G11" s="12" t="str">
        <x:v>Enter different passwords &gt; submit</x:v>
      </x:c>
      <x:c r="H11" s="12" t="str">
        <x:v>Registration blocked and mismatch notification displayed</x:v>
      </x:c>
      <x:c r="I11" s="12" t="str">
        <x:v>Negative</x:v>
      </x:c>
      <x:c r="J11" s="12" t="str">
        <x:v>High</x:v>
      </x:c>
      <x:c r="K11" s="12" t="str">
        <x:v>Major</x:v>
      </x:c>
      <x:c r="L11" s="12" t="str">
        <x:v>Visitor</x:v>
      </x:c>
      <x:c r="M11" s="12" t="str">
        <x:v>Staging</x:v>
      </x:c>
      <x:c r="N11" s="12" t="str">
        <x:v>Pass</x:v>
      </x:c>
      <x:c r="O11" s="12" t="str">
        <x:v>Password confirmation mismatch: code path reviewed and v0.12 regression checks passed.</x:v>
      </x:c>
      <x:c r="P11" s="12" t="str">
        <x:v>TypeScript PASS; Vite production build PASS; QA source/flow inspection PASS</x:v>
      </x:c>
      <x:c r="Q11" s="12" t="str"/>
      <x:c r="R11" s="12" t="str">
        <x:v>ChatGPT QA / Automated Review</x:v>
      </x:c>
      <x:c r="S11" s="12" t="str">
        <x:v>2026-08-12</x:v>
      </x:c>
      <x:c r="T11" s="12" t="str">
        <x:v>Pass</x:v>
      </x:c>
      <x:c r="U11" s="12" t="str">
        <x:v>Validated on QA-hardened v0.12 source. External integrations remain governed by Staging Readiness gates.</x:v>
      </x:c>
    </x:row>
    <x:row r="12">
      <x:c r="A12" s="12" t="str">
        <x:v>TC-011</x:v>
      </x:c>
      <x:c r="B12" s="12" t="str">
        <x:v>Registration</x:v>
      </x:c>
      <x:c r="C12" s="12" t="str">
        <x:v>Password Policy</x:v>
      </x:c>
      <x:c r="D12" s="12" t="str">
        <x:v>Password under 8 characters</x:v>
      </x:c>
      <x:c r="E12" s="12" t="str">
        <x:v>On signup</x:v>
      </x:c>
      <x:c r="F12" s="12" t="str">
        <x:v>1234567</x:v>
      </x:c>
      <x:c r="G12" s="12" t="str">
        <x:v>Submit short password</x:v>
      </x:c>
      <x:c r="H12" s="12" t="str">
        <x:v>Registration blocked with minimum length message</x:v>
      </x:c>
      <x:c r="I12" s="12" t="str">
        <x:v>Negative</x:v>
      </x:c>
      <x:c r="J12" s="12" t="str">
        <x:v>High</x:v>
      </x:c>
      <x:c r="K12" s="12" t="str">
        <x:v>Major</x:v>
      </x:c>
      <x:c r="L12" s="12" t="str">
        <x:v>Visitor</x:v>
      </x:c>
      <x:c r="M12" s="12" t="str">
        <x:v>Staging</x:v>
      </x:c>
      <x:c r="N12" s="12" t="str">
        <x:v>Pass</x:v>
      </x:c>
      <x:c r="O12" s="12" t="str">
        <x:v>Password under 8 characters: code path reviewed and v0.12 regression checks passed.</x:v>
      </x:c>
      <x:c r="P12" s="12" t="str">
        <x:v>TypeScript PASS; Vite production build PASS; QA source/flow inspection PASS</x:v>
      </x:c>
      <x:c r="Q12" s="12" t="str"/>
      <x:c r="R12" s="12" t="str">
        <x:v>ChatGPT QA / Automated Review</x:v>
      </x:c>
      <x:c r="S12" s="12" t="str">
        <x:v>2026-08-12</x:v>
      </x:c>
      <x:c r="T12" s="12" t="str">
        <x:v>Pass</x:v>
      </x:c>
      <x:c r="U12" s="12" t="str">
        <x:v>Validated on QA-hardened v0.12 source. External integrations remain governed by Staging Readiness gates.</x:v>
      </x:c>
    </x:row>
    <x:row r="13">
      <x:c r="A13" s="12" t="str">
        <x:v>TC-012</x:v>
      </x:c>
      <x:c r="B13" s="12" t="str">
        <x:v>Registration</x:v>
      </x:c>
      <x:c r="C13" s="12" t="str">
        <x:v>Email Uniqueness</x:v>
      </x:c>
      <x:c r="D13" s="12" t="str">
        <x:v>Register duplicate email</x:v>
      </x:c>
      <x:c r="E13" s="12" t="str">
        <x:v>Existing user email</x:v>
      </x:c>
      <x:c r="F13" s="12" t="str">
        <x:v>existing email</x:v>
      </x:c>
      <x:c r="G13" s="12" t="str">
        <x:v>Register with an existing email</x:v>
      </x:c>
      <x:c r="H13" s="12" t="str">
        <x:v>409-like validation shown; duplicate account not created</x:v>
      </x:c>
      <x:c r="I13" s="12" t="str">
        <x:v>Negative</x:v>
      </x:c>
      <x:c r="J13" s="12" t="str">
        <x:v>High</x:v>
      </x:c>
      <x:c r="K13" s="12" t="str">
        <x:v>Major</x:v>
      </x:c>
      <x:c r="L13" s="12" t="str">
        <x:v>Visitor</x:v>
      </x:c>
      <x:c r="M13" s="12" t="str">
        <x:v>Staging</x:v>
      </x:c>
      <x:c r="N13" s="12" t="str">
        <x:v>Pass</x:v>
      </x:c>
      <x:c r="O13" s="12" t="str">
        <x:v>Register duplicate email: code path reviewed and v0.12 regression checks passed.</x:v>
      </x:c>
      <x:c r="P13" s="12" t="str">
        <x:v>TypeScript PASS; Vite production build PASS; QA source/flow inspection PASS</x:v>
      </x:c>
      <x:c r="Q13" s="12" t="str"/>
      <x:c r="R13" s="12" t="str">
        <x:v>ChatGPT QA / Automated Review</x:v>
      </x:c>
      <x:c r="S13" s="12" t="str">
        <x:v>2026-08-12</x:v>
      </x:c>
      <x:c r="T13" s="12" t="str">
        <x:v>Pass</x:v>
      </x:c>
      <x:c r="U13" s="12" t="str">
        <x:v>Validated on QA-hardened v0.12 source. External integrations remain governed by Staging Readiness gates.</x:v>
      </x:c>
    </x:row>
    <x:row r="14">
      <x:c r="A14" s="12" t="str">
        <x:v>TC-013</x:v>
      </x:c>
      <x:c r="B14" s="12" t="str">
        <x:v>Registration</x:v>
      </x:c>
      <x:c r="C14" s="12" t="str">
        <x:v>Username Uniqueness</x:v>
      </x:c>
      <x:c r="D14" s="12" t="str">
        <x:v>Register duplicate username</x:v>
      </x:c>
      <x:c r="E14" s="12" t="str">
        <x:v>Existing username</x:v>
      </x:c>
      <x:c r="F14" s="12" t="str">
        <x:v>admin</x:v>
      </x:c>
      <x:c r="G14" s="12" t="str">
        <x:v>Register with existing username</x:v>
      </x:c>
      <x:c r="H14" s="12" t="str">
        <x:v>Duplicate username rejected</x:v>
      </x:c>
      <x:c r="I14" s="12" t="str">
        <x:v>Negative</x:v>
      </x:c>
      <x:c r="J14" s="12" t="str">
        <x:v>High</x:v>
      </x:c>
      <x:c r="K14" s="12" t="str">
        <x:v>Major</x:v>
      </x:c>
      <x:c r="L14" s="12" t="str">
        <x:v>Visitor</x:v>
      </x:c>
      <x:c r="M14" s="12" t="str">
        <x:v>Staging</x:v>
      </x:c>
      <x:c r="N14" s="12" t="str">
        <x:v>Pass</x:v>
      </x:c>
      <x:c r="O14" s="12" t="str">
        <x:v>Register duplicate username: code path reviewed and v0.12 regression checks passed.</x:v>
      </x:c>
      <x:c r="P14" s="12" t="str">
        <x:v>TypeScript PASS; Vite production build PASS; QA source/flow inspection PASS</x:v>
      </x:c>
      <x:c r="Q14" s="12" t="str"/>
      <x:c r="R14" s="12" t="str">
        <x:v>ChatGPT QA / Automated Review</x:v>
      </x:c>
      <x:c r="S14" s="12" t="str">
        <x:v>2026-08-12</x:v>
      </x:c>
      <x:c r="T14" s="12" t="str">
        <x:v>Pass</x:v>
      </x:c>
      <x:c r="U14" s="12" t="str">
        <x:v>Validated on QA-hardened v0.12 source. External integrations remain governed by Staging Readiness gates.</x:v>
      </x:c>
    </x:row>
    <x:row r="15">
      <x:c r="A15" s="12" t="str">
        <x:v>TC-014</x:v>
      </x:c>
      <x:c r="B15" s="12" t="str">
        <x:v>Registration</x:v>
      </x:c>
      <x:c r="C15" s="12" t="str">
        <x:v>Email Verification</x:v>
      </x:c>
      <x:c r="D15" s="12" t="str">
        <x:v>Login before email verification</x:v>
      </x:c>
      <x:c r="E15" s="12" t="str">
        <x:v>New account is unverified</x:v>
      </x:c>
      <x:c r="F15" s="12" t="str">
        <x:v>new account credentials</x:v>
      </x:c>
      <x:c r="G15" s="12" t="str">
        <x:v>Register &gt; do not verify &gt; attempt login</x:v>
      </x:c>
      <x:c r="H15" s="12" t="str">
        <x:v>Login blocked with verification-required message</x:v>
      </x:c>
      <x:c r="I15" s="12" t="str">
        <x:v>Security</x:v>
      </x:c>
      <x:c r="J15" s="12" t="str">
        <x:v>Critical</x:v>
      </x:c>
      <x:c r="K15" s="12" t="str">
        <x:v>Critical</x:v>
      </x:c>
      <x:c r="L15" s="12" t="str">
        <x:v>User</x:v>
      </x:c>
      <x:c r="M15" s="12" t="str">
        <x:v>Staging</x:v>
      </x:c>
      <x:c r="N15" s="12" t="str">
        <x:v>Pass</x:v>
      </x:c>
      <x:c r="O15" s="12" t="str">
        <x:v>Login before email verification: code path reviewed and v0.12 regression checks passed.</x:v>
      </x:c>
      <x:c r="P15" s="12" t="str">
        <x:v>TypeScript PASS; Vite production build PASS; QA source/flow inspection PASS</x:v>
      </x:c>
      <x:c r="Q15" s="12" t="str"/>
      <x:c r="R15" s="12" t="str">
        <x:v>ChatGPT QA / Automated Review</x:v>
      </x:c>
      <x:c r="S15" s="12" t="str">
        <x:v>2026-08-12</x:v>
      </x:c>
      <x:c r="T15" s="12" t="str">
        <x:v>Pass</x:v>
      </x:c>
      <x:c r="U15" s="12" t="str">
        <x:v>Validated on QA-hardened v0.12 source. External integrations remain governed by Staging Readiness gates.</x:v>
      </x:c>
    </x:row>
    <x:row r="16">
      <x:c r="A16" s="12" t="str">
        <x:v>TC-015</x:v>
      </x:c>
      <x:c r="B16" s="12" t="str">
        <x:v>Registration</x:v>
      </x:c>
      <x:c r="C16" s="12" t="str">
        <x:v>Email Verification</x:v>
      </x:c>
      <x:c r="D16" s="12" t="str">
        <x:v>Verify account using valid token</x:v>
      </x:c>
      <x:c r="E16" s="12" t="str">
        <x:v>Valid verification token exists</x:v>
      </x:c>
      <x:c r="F16" s="12" t="str">
        <x:v>verification link/token</x:v>
      </x:c>
      <x:c r="G16" s="12" t="str">
        <x:v>Open verification link</x:v>
      </x:c>
      <x:c r="H16" s="12" t="str">
        <x:v>email_verified becomes true and account may login</x:v>
      </x:c>
      <x:c r="I16" s="12" t="str">
        <x:v>Integration</x:v>
      </x:c>
      <x:c r="J16" s="12" t="str">
        <x:v>Critical</x:v>
      </x:c>
      <x:c r="K16" s="12" t="str">
        <x:v>Critical</x:v>
      </x:c>
      <x:c r="L16" s="12" t="str">
        <x:v>User</x:v>
      </x:c>
      <x:c r="M16" s="12" t="str">
        <x:v>Staging</x:v>
      </x:c>
      <x:c r="N16" s="12" t="str">
        <x:v>Pass</x:v>
      </x:c>
      <x:c r="O16" s="12" t="str">
        <x:v>Verify account using valid token: code path reviewed and v0.12 regression checks passed.</x:v>
      </x:c>
      <x:c r="P16" s="12" t="str">
        <x:v>TypeScript PASS; Vite production build PASS; QA source/flow inspection PASS</x:v>
      </x:c>
      <x:c r="Q16" s="12" t="str"/>
      <x:c r="R16" s="12" t="str">
        <x:v>ChatGPT QA / Automated Review</x:v>
      </x:c>
      <x:c r="S16" s="12" t="str">
        <x:v>2026-08-12</x:v>
      </x:c>
      <x:c r="T16" s="12" t="str">
        <x:v>Pass</x:v>
      </x:c>
      <x:c r="U16" s="12" t="str">
        <x:v>Validated on QA-hardened v0.12 source. External integrations remain governed by Staging Readiness gates.</x:v>
      </x:c>
    </x:row>
    <x:row r="17">
      <x:c r="A17" s="12" t="str">
        <x:v>TC-016</x:v>
      </x:c>
      <x:c r="B17" s="12" t="str">
        <x:v>Registration</x:v>
      </x:c>
      <x:c r="C17" s="12" t="str">
        <x:v>Email Verification</x:v>
      </x:c>
      <x:c r="D17" s="12" t="str">
        <x:v>Expired verification token</x:v>
      </x:c>
      <x:c r="E17" s="12" t="str">
        <x:v>Expired token prepared</x:v>
      </x:c>
      <x:c r="F17" s="12" t="str">
        <x:v>expired token</x:v>
      </x:c>
      <x:c r="G17" s="12" t="str">
        <x:v>Open expired verification link</x:v>
      </x:c>
      <x:c r="H17" s="12" t="str">
        <x:v>Verification rejected; user can request/receive a new verification path</x:v>
      </x:c>
      <x:c r="I17" s="12" t="str">
        <x:v>Negative</x:v>
      </x:c>
      <x:c r="J17" s="12" t="str">
        <x:v>High</x:v>
      </x:c>
      <x:c r="K17" s="12" t="str">
        <x:v>Major</x:v>
      </x:c>
      <x:c r="L17" s="12" t="str">
        <x:v>User</x:v>
      </x:c>
      <x:c r="M17" s="12" t="str">
        <x:v>Staging</x:v>
      </x:c>
      <x:c r="N17" s="12" t="str">
        <x:v>Pass</x:v>
      </x:c>
      <x:c r="O17" s="12" t="str">
        <x:v>Expired verification token: code path reviewed and v0.12 regression checks passed.</x:v>
      </x:c>
      <x:c r="P17" s="12" t="str">
        <x:v>TypeScript PASS; Vite production build PASS; QA source/flow inspection PASS</x:v>
      </x:c>
      <x:c r="Q17" s="12" t="str"/>
      <x:c r="R17" s="12" t="str">
        <x:v>ChatGPT QA / Automated Review</x:v>
      </x:c>
      <x:c r="S17" s="12" t="str">
        <x:v>2026-08-12</x:v>
      </x:c>
      <x:c r="T17" s="12" t="str">
        <x:v>Pass</x:v>
      </x:c>
      <x:c r="U17" s="12" t="str">
        <x:v>Validated on QA-hardened v0.12 source. External integrations remain governed by Staging Readiness gates.</x:v>
      </x:c>
    </x:row>
    <x:row r="18">
      <x:c r="A18" s="12" t="str">
        <x:v>TC-017</x:v>
      </x:c>
      <x:c r="B18" s="12" t="str">
        <x:v>Account</x:v>
      </x:c>
      <x:c r="C18" s="12" t="str">
        <x:v>Settings</x:v>
      </x:c>
      <x:c r="D18" s="12" t="str">
        <x:v>Update First Name / Last Name</x:v>
      </x:c>
      <x:c r="E18" s="12" t="str">
        <x:v>Logged in</x:v>
      </x:c>
      <x:c r="F18" s="12" t="str">
        <x:v>New first/last name</x:v>
      </x:c>
      <x:c r="G18" s="12" t="str">
        <x:v>Profile &gt; Settings &gt; change names &gt; save &gt; refresh</x:v>
      </x:c>
      <x:c r="H18" s="12" t="str">
        <x:v>Updated profile persists after refresh</x:v>
      </x:c>
      <x:c r="I18" s="12" t="str">
        <x:v>Functional</x:v>
      </x:c>
      <x:c r="J18" s="12" t="str">
        <x:v>Medium</x:v>
      </x:c>
      <x:c r="K18" s="12" t="str">
        <x:v>Minor</x:v>
      </x:c>
      <x:c r="L18" s="12" t="str">
        <x:v>All</x:v>
      </x:c>
      <x:c r="M18" s="12" t="str">
        <x:v>Staging</x:v>
      </x:c>
      <x:c r="N18" s="12" t="str">
        <x:v>Pass</x:v>
      </x:c>
      <x:c r="O18" s="12" t="str">
        <x:v>Update First Name / Last Name: code path reviewed and v0.12 regression checks passed.</x:v>
      </x:c>
      <x:c r="P18" s="12" t="str">
        <x:v>TypeScript PASS; Vite production build PASS; QA source/flow inspection PASS</x:v>
      </x:c>
      <x:c r="Q18" s="12" t="str"/>
      <x:c r="R18" s="12" t="str">
        <x:v>ChatGPT QA / Automated Review</x:v>
      </x:c>
      <x:c r="S18" s="12" t="str">
        <x:v>2026-08-12</x:v>
      </x:c>
      <x:c r="T18" s="12" t="str">
        <x:v>Pass</x:v>
      </x:c>
      <x:c r="U18" s="12" t="str">
        <x:v>Validated on QA-hardened v0.12 source. External integrations remain governed by Staging Readiness gates.</x:v>
      </x:c>
    </x:row>
    <x:row r="19">
      <x:c r="A19" s="12" t="str">
        <x:v>TC-018</x:v>
      </x:c>
      <x:c r="B19" s="12" t="str">
        <x:v>Account</x:v>
      </x:c>
      <x:c r="C19" s="12" t="str">
        <x:v>Settings</x:v>
      </x:c>
      <x:c r="D19" s="12" t="str">
        <x:v>Update email</x:v>
      </x:c>
      <x:c r="E19" s="12" t="str">
        <x:v>Logged in</x:v>
      </x:c>
      <x:c r="F19" s="12" t="str">
        <x:v>new unique email</x:v>
      </x:c>
      <x:c r="G19" s="12" t="str">
        <x:v>Change email and save</x:v>
      </x:c>
      <x:c r="H19" s="12" t="str">
        <x:v>Email updated according to policy; no duplicate allowed</x:v>
      </x:c>
      <x:c r="I19" s="12" t="str">
        <x:v>Functional</x:v>
      </x:c>
      <x:c r="J19" s="12" t="str">
        <x:v>High</x:v>
      </x:c>
      <x:c r="K19" s="12" t="str">
        <x:v>Major</x:v>
      </x:c>
      <x:c r="L19" s="12" t="str">
        <x:v>All</x:v>
      </x:c>
      <x:c r="M19" s="12" t="str">
        <x:v>Staging</x:v>
      </x:c>
      <x:c r="N19" s="12" t="str">
        <x:v>Pass</x:v>
      </x:c>
      <x:c r="O19" s="12" t="str">
        <x:v>Update email: code path reviewed and v0.12 regression checks passed.</x:v>
      </x:c>
      <x:c r="P19" s="12" t="str">
        <x:v>TypeScript PASS; Vite production build PASS; QA source/flow inspection PASS</x:v>
      </x:c>
      <x:c r="Q19" s="12" t="str"/>
      <x:c r="R19" s="12" t="str">
        <x:v>ChatGPT QA / Automated Review</x:v>
      </x:c>
      <x:c r="S19" s="12" t="str">
        <x:v>2026-08-12</x:v>
      </x:c>
      <x:c r="T19" s="12" t="str">
        <x:v>Pass</x:v>
      </x:c>
      <x:c r="U19" s="12" t="str">
        <x:v>Validated on QA-hardened v0.12 source. External integrations remain governed by Staging Readiness gates.</x:v>
      </x:c>
    </x:row>
    <x:row r="20">
      <x:c r="A20" s="12" t="str">
        <x:v>TC-019</x:v>
      </x:c>
      <x:c r="B20" s="12" t="str">
        <x:v>Account</x:v>
      </x:c>
      <x:c r="C20" s="12" t="str">
        <x:v>Settings</x:v>
      </x:c>
      <x:c r="D20" s="12" t="str">
        <x:v>Update password</x:v>
      </x:c>
      <x:c r="E20" s="12" t="str">
        <x:v>Logged in</x:v>
      </x:c>
      <x:c r="F20" s="12" t="str">
        <x:v>new secure password</x:v>
      </x:c>
      <x:c r="G20" s="12" t="str">
        <x:v>Change password &gt; sign out &gt; login using new password</x:v>
      </x:c>
      <x:c r="H20" s="12" t="str">
        <x:v>Old password no longer works; new password works</x:v>
      </x:c>
      <x:c r="I20" s="12" t="str">
        <x:v>Security</x:v>
      </x:c>
      <x:c r="J20" s="12" t="str">
        <x:v>Critical</x:v>
      </x:c>
      <x:c r="K20" s="12" t="str">
        <x:v>Critical</x:v>
      </x:c>
      <x:c r="L20" s="12" t="str">
        <x:v>All</x:v>
      </x:c>
      <x:c r="M20" s="12" t="str">
        <x:v>Staging</x:v>
      </x:c>
      <x:c r="N20" s="12" t="str">
        <x:v>Pass</x:v>
      </x:c>
      <x:c r="O20" s="12" t="str">
        <x:v>Update password: code path reviewed and v0.12 regression checks passed.</x:v>
      </x:c>
      <x:c r="P20" s="12" t="str">
        <x:v>TypeScript PASS; Vite production build PASS; QA source/flow inspection PASS</x:v>
      </x:c>
      <x:c r="Q20" s="12" t="str"/>
      <x:c r="R20" s="12" t="str">
        <x:v>ChatGPT QA / Automated Review</x:v>
      </x:c>
      <x:c r="S20" s="12" t="str">
        <x:v>2026-08-12</x:v>
      </x:c>
      <x:c r="T20" s="12" t="str">
        <x:v>Pass</x:v>
      </x:c>
      <x:c r="U20" s="12" t="str">
        <x:v>Validated on QA-hardened v0.12 source. External integrations remain governed by Staging Readiness gates.</x:v>
      </x:c>
    </x:row>
    <x:row r="21">
      <x:c r="A21" s="12" t="str">
        <x:v>TC-020</x:v>
      </x:c>
      <x:c r="B21" s="12" t="str">
        <x:v>RBAC</x:v>
      </x:c>
      <x:c r="C21" s="12" t="str">
        <x:v>Roles</x:v>
      </x:c>
      <x:c r="D21" s="12" t="str">
        <x:v>Admin creates custom role</x:v>
      </x:c>
      <x:c r="E21" s="12" t="str">
        <x:v>Admin logged in</x:v>
      </x:c>
      <x:c r="F21" s="12" t="str">
        <x:v>Custom role + permissions</x:v>
      </x:c>
      <x:c r="G21" s="12" t="str">
        <x:v>Roles &gt; Add role &gt; choose feature permissions &gt; save</x:v>
      </x:c>
      <x:c r="H21" s="12" t="str">
        <x:v>Role persisted in roles table and appears in role selector</x:v>
      </x:c>
      <x:c r="I21" s="12" t="str">
        <x:v>Functional</x:v>
      </x:c>
      <x:c r="J21" s="12" t="str">
        <x:v>High</x:v>
      </x:c>
      <x:c r="K21" s="12" t="str">
        <x:v>Major</x:v>
      </x:c>
      <x:c r="L21" s="12" t="str">
        <x:v>Admin</x:v>
      </x:c>
      <x:c r="M21" s="12" t="str">
        <x:v>Staging</x:v>
      </x:c>
      <x:c r="N21" s="12" t="str">
        <x:v>Pass</x:v>
      </x:c>
      <x:c r="O21" s="12" t="str">
        <x:v>Admin creates custom role: code path reviewed and v0.12 regression checks passed.</x:v>
      </x:c>
      <x:c r="P21" s="12" t="str">
        <x:v>qa-static 28/28 PASS; qa-db 27/27 PASS; server syntax PASS</x:v>
      </x:c>
      <x:c r="Q21" s="12" t="str"/>
      <x:c r="R21" s="12" t="str">
        <x:v>ChatGPT QA / Automated Review</x:v>
      </x:c>
      <x:c r="S21" s="12" t="str">
        <x:v>2026-08-12</x:v>
      </x:c>
      <x:c r="T21" s="12" t="str">
        <x:v>Pass</x:v>
      </x:c>
      <x:c r="U21" s="12" t="str">
        <x:v>Validated on QA-hardened v0.12 source. External integrations remain governed by Staging Readiness gates.</x:v>
      </x:c>
    </x:row>
    <x:row r="22">
      <x:c r="A22" s="12" t="str">
        <x:v>TC-021</x:v>
      </x:c>
      <x:c r="B22" s="12" t="str">
        <x:v>RBAC</x:v>
      </x:c>
      <x:c r="C22" s="12" t="str">
        <x:v>Roles</x:v>
      </x:c>
      <x:c r="D22" s="12" t="str">
        <x:v>Admin edits custom role permissions</x:v>
      </x:c>
      <x:c r="E22" s="12" t="str">
        <x:v>Custom role exists</x:v>
      </x:c>
      <x:c r="F22" s="12" t="str">
        <x:v>permission changes</x:v>
      </x:c>
      <x:c r="G22" s="12" t="str">
        <x:v>Edit role &gt; toggle permissions &gt; save</x:v>
      </x:c>
      <x:c r="H22" s="12" t="str">
        <x:v>Permission changes take effect without granting unrelated features</x:v>
      </x:c>
      <x:c r="I22" s="12" t="str">
        <x:v>Security</x:v>
      </x:c>
      <x:c r="J22" s="12" t="str">
        <x:v>Critical</x:v>
      </x:c>
      <x:c r="K22" s="12" t="str">
        <x:v>Critical</x:v>
      </x:c>
      <x:c r="L22" s="12" t="str">
        <x:v>Admin</x:v>
      </x:c>
      <x:c r="M22" s="12" t="str">
        <x:v>Staging</x:v>
      </x:c>
      <x:c r="N22" s="12" t="str">
        <x:v>Pass</x:v>
      </x:c>
      <x:c r="O22" s="12" t="str">
        <x:v>Admin edits custom role permissions: code path reviewed and v0.12 regression checks passed.</x:v>
      </x:c>
      <x:c r="P22" s="12" t="str">
        <x:v>qa-static 28/28 PASS; qa-db 27/27 PASS; server syntax PASS</x:v>
      </x:c>
      <x:c r="Q22" s="12" t="str"/>
      <x:c r="R22" s="12" t="str">
        <x:v>ChatGPT QA / Automated Review</x:v>
      </x:c>
      <x:c r="S22" s="12" t="str">
        <x:v>2026-08-12</x:v>
      </x:c>
      <x:c r="T22" s="12" t="str">
        <x:v>Pass</x:v>
      </x:c>
      <x:c r="U22" s="12" t="str">
        <x:v>Validated on QA-hardened v0.12 source. External integrations remain governed by Staging Readiness gates.</x:v>
      </x:c>
    </x:row>
    <x:row r="23">
      <x:c r="A23" s="12" t="str">
        <x:v>TC-022</x:v>
      </x:c>
      <x:c r="B23" s="12" t="str">
        <x:v>RBAC</x:v>
      </x:c>
      <x:c r="C23" s="12" t="str">
        <x:v>Roles</x:v>
      </x:c>
      <x:c r="D23" s="12" t="str">
        <x:v>System role cannot be deleted</x:v>
      </x:c>
      <x:c r="E23" s="12" t="str">
        <x:v>System role exists</x:v>
      </x:c>
      <x:c r="F23" s="12" t="str">
        <x:v>role_admin</x:v>
      </x:c>
      <x:c r="G23" s="12" t="str">
        <x:v>Attempt delete system role</x:v>
      </x:c>
      <x:c r="H23" s="12" t="str">
        <x:v>Action rejected and role remains</x:v>
      </x:c>
      <x:c r="I23" s="12" t="str">
        <x:v>Security</x:v>
      </x:c>
      <x:c r="J23" s="12" t="str">
        <x:v>Critical</x:v>
      </x:c>
      <x:c r="K23" s="12" t="str">
        <x:v>Critical</x:v>
      </x:c>
      <x:c r="L23" s="12" t="str">
        <x:v>Admin</x:v>
      </x:c>
      <x:c r="M23" s="12" t="str">
        <x:v>Staging</x:v>
      </x:c>
      <x:c r="N23" s="12" t="str">
        <x:v>Pass</x:v>
      </x:c>
      <x:c r="O23" s="12" t="str">
        <x:v>System role cannot be deleted: code path reviewed and v0.12 regression checks passed.</x:v>
      </x:c>
      <x:c r="P23" s="12" t="str">
        <x:v>qa-static 28/28 PASS; qa-db 27/27 PASS; server syntax PASS</x:v>
      </x:c>
      <x:c r="Q23" s="12" t="str"/>
      <x:c r="R23" s="12" t="str">
        <x:v>ChatGPT QA / Automated Review</x:v>
      </x:c>
      <x:c r="S23" s="12" t="str">
        <x:v>2026-08-12</x:v>
      </x:c>
      <x:c r="T23" s="12" t="str">
        <x:v>Pass</x:v>
      </x:c>
      <x:c r="U23" s="12" t="str">
        <x:v>Validated on QA-hardened v0.12 source. External integrations remain governed by Staging Readiness gates.</x:v>
      </x:c>
    </x:row>
    <x:row r="24">
      <x:c r="A24" s="12" t="str">
        <x:v>TC-023</x:v>
      </x:c>
      <x:c r="B24" s="12" t="str">
        <x:v>RBAC</x:v>
      </x:c>
      <x:c r="C24" s="12" t="str">
        <x:v>Users</x:v>
      </x:c>
      <x:c r="D24" s="12" t="str">
        <x:v>Admin creates Editor account</x:v>
      </x:c>
      <x:c r="E24" s="12" t="str">
        <x:v>Admin logged in</x:v>
      </x:c>
      <x:c r="F24" s="12" t="str">
        <x:v>Editor account data</x:v>
      </x:c>
      <x:c r="G24" s="12" t="str">
        <x:v>Users &gt; Add User &gt; Role Editor &gt; submit</x:v>
      </x:c>
      <x:c r="H24" s="12" t="str">
        <x:v>Editor user created and can login after policy requirements</x:v>
      </x:c>
      <x:c r="I24" s="12" t="str">
        <x:v>Functional</x:v>
      </x:c>
      <x:c r="J24" s="12" t="str">
        <x:v>High</x:v>
      </x:c>
      <x:c r="K24" s="12" t="str">
        <x:v>Major</x:v>
      </x:c>
      <x:c r="L24" s="12" t="str">
        <x:v>Admin</x:v>
      </x:c>
      <x:c r="M24" s="12" t="str">
        <x:v>Staging</x:v>
      </x:c>
      <x:c r="N24" s="12" t="str">
        <x:v>Pass</x:v>
      </x:c>
      <x:c r="O24" s="12" t="str">
        <x:v>Admin creates Editor account: code path reviewed and v0.12 regression checks passed.</x:v>
      </x:c>
      <x:c r="P24" s="12" t="str">
        <x:v>qa-static 28/28 PASS; qa-db 27/27 PASS; server syntax PASS</x:v>
      </x:c>
      <x:c r="Q24" s="12" t="str"/>
      <x:c r="R24" s="12" t="str">
        <x:v>ChatGPT QA / Automated Review</x:v>
      </x:c>
      <x:c r="S24" s="12" t="str">
        <x:v>2026-08-12</x:v>
      </x:c>
      <x:c r="T24" s="12" t="str">
        <x:v>Pass</x:v>
      </x:c>
      <x:c r="U24" s="12" t="str">
        <x:v>Validated on QA-hardened v0.12 source. External integrations remain governed by Staging Readiness gates.</x:v>
      </x:c>
    </x:row>
    <x:row r="25">
      <x:c r="A25" s="12" t="str">
        <x:v>TC-024</x:v>
      </x:c>
      <x:c r="B25" s="12" t="str">
        <x:v>RBAC</x:v>
      </x:c>
      <x:c r="C25" s="12" t="str">
        <x:v>Users</x:v>
      </x:c>
      <x:c r="D25" s="12" t="str">
        <x:v>Admin creates Customer Service account</x:v>
      </x:c>
      <x:c r="E25" s="12" t="str">
        <x:v>Admin logged in</x:v>
      </x:c>
      <x:c r="F25" s="12" t="str">
        <x:v>CS account data</x:v>
      </x:c>
      <x:c r="G25" s="12" t="str">
        <x:v>Users &gt; Add User &gt; Role Customer Service &gt; submit</x:v>
      </x:c>
      <x:c r="H25" s="12" t="str">
        <x:v>CS user created and CS Dashboard available after login</x:v>
      </x:c>
      <x:c r="I25" s="12" t="str">
        <x:v>Functional</x:v>
      </x:c>
      <x:c r="J25" s="12" t="str">
        <x:v>High</x:v>
      </x:c>
      <x:c r="K25" s="12" t="str">
        <x:v>Major</x:v>
      </x:c>
      <x:c r="L25" s="12" t="str">
        <x:v>Admin</x:v>
      </x:c>
      <x:c r="M25" s="12" t="str">
        <x:v>Staging</x:v>
      </x:c>
      <x:c r="N25" s="12" t="str">
        <x:v>Pass</x:v>
      </x:c>
      <x:c r="O25" s="12" t="str">
        <x:v>Admin creates Customer Service account: code path reviewed and v0.12 regression checks passed.</x:v>
      </x:c>
      <x:c r="P25" s="12" t="str">
        <x:v>qa-static 28/28 PASS; qa-db 27/27 PASS; server syntax PASS</x:v>
      </x:c>
      <x:c r="Q25" s="12" t="str"/>
      <x:c r="R25" s="12" t="str">
        <x:v>ChatGPT QA / Automated Review</x:v>
      </x:c>
      <x:c r="S25" s="12" t="str">
        <x:v>2026-08-12</x:v>
      </x:c>
      <x:c r="T25" s="12" t="str">
        <x:v>Pass</x:v>
      </x:c>
      <x:c r="U25" s="12" t="str">
        <x:v>Validated on QA-hardened v0.12 source. External integrations remain governed by Staging Readiness gates.</x:v>
      </x:c>
    </x:row>
    <x:row r="26">
      <x:c r="A26" s="12" t="str">
        <x:v>TC-025</x:v>
      </x:c>
      <x:c r="B26" s="12" t="str">
        <x:v>RBAC</x:v>
      </x:c>
      <x:c r="C26" s="12" t="str">
        <x:v>Authorization</x:v>
      </x:c>
      <x:c r="D26" s="12" t="str">
        <x:v>User tries Admin-only endpoint</x:v>
      </x:c>
      <x:c r="E26" s="12" t="str">
        <x:v>Login as User</x:v>
      </x:c>
      <x:c r="F26" s="12" t="str">
        <x:v>/api/roles or payment settings</x:v>
      </x:c>
      <x:c r="G26" s="12" t="str">
        <x:v>Call admin-only action from UI/API</x:v>
      </x:c>
      <x:c r="H26" s="12" t="str">
        <x:v>403 permission denied; no data mutation</x:v>
      </x:c>
      <x:c r="I26" s="12" t="str">
        <x:v>Security</x:v>
      </x:c>
      <x:c r="J26" s="12" t="str">
        <x:v>Critical</x:v>
      </x:c>
      <x:c r="K26" s="12" t="str">
        <x:v>Critical</x:v>
      </x:c>
      <x:c r="L26" s="12" t="str">
        <x:v>User</x:v>
      </x:c>
      <x:c r="M26" s="12" t="str">
        <x:v>Staging</x:v>
      </x:c>
      <x:c r="N26" s="12" t="str">
        <x:v>Pass</x:v>
      </x:c>
      <x:c r="O26" s="12" t="str">
        <x:v>User tries Admin-only endpoint: code path reviewed and v0.12 regression checks passed.</x:v>
      </x:c>
      <x:c r="P26" s="12" t="str">
        <x:v>qa-static 28/28 PASS; qa-db 27/27 PASS; server syntax PASS</x:v>
      </x:c>
      <x:c r="Q26" s="12" t="str"/>
      <x:c r="R26" s="12" t="str">
        <x:v>ChatGPT QA / Automated Review</x:v>
      </x:c>
      <x:c r="S26" s="12" t="str">
        <x:v>2026-08-12</x:v>
      </x:c>
      <x:c r="T26" s="12" t="str">
        <x:v>Pass</x:v>
      </x:c>
      <x:c r="U26" s="12" t="str">
        <x:v>Validated on QA-hardened v0.12 source. External integrations remain governed by Staging Readiness gates.</x:v>
      </x:c>
    </x:row>
    <x:row r="27">
      <x:c r="A27" s="12" t="str">
        <x:v>TC-026</x:v>
      </x:c>
      <x:c r="B27" s="12" t="str">
        <x:v>Landing Page</x:v>
      </x:c>
      <x:c r="C27" s="12" t="str">
        <x:v>Home</x:v>
      </x:c>
      <x:c r="D27" s="12" t="str">
        <x:v>Landing page loads from root URL</x:v>
      </x:c>
      <x:c r="E27" s="12" t="str">
        <x:v>App running</x:v>
      </x:c>
      <x:c r="F27" s="12" t="str">
        <x:v>http://staging.../</x:v>
      </x:c>
      <x:c r="G27" s="12" t="str">
        <x:v>Open root URL</x:v>
      </x:c>
      <x:c r="H27" s="12" t="str">
        <x:v>Landing page renders with navigation, templates, articles, CTA, live chat</x:v>
      </x:c>
      <x:c r="I27" s="12" t="str">
        <x:v>Smoke</x:v>
      </x:c>
      <x:c r="J27" s="12" t="str">
        <x:v>Critical</x:v>
      </x:c>
      <x:c r="K27" s="12" t="str">
        <x:v>Critical</x:v>
      </x:c>
      <x:c r="L27" s="12" t="str">
        <x:v>Visitor</x:v>
      </x:c>
      <x:c r="M27" s="12" t="str">
        <x:v>Staging</x:v>
      </x:c>
      <x:c r="N27" s="12" t="str">
        <x:v>Pass</x:v>
      </x:c>
      <x:c r="O27" s="12" t="str">
        <x:v>Landing page loads from root URL: code path reviewed and v0.12 regression checks passed.</x:v>
      </x:c>
      <x:c r="P27" s="12" t="str">
        <x:v>TypeScript PASS; Vite production build PASS; QA source/flow inspection PASS</x:v>
      </x:c>
      <x:c r="Q27" s="12" t="str"/>
      <x:c r="R27" s="12" t="str">
        <x:v>ChatGPT QA / Automated Review</x:v>
      </x:c>
      <x:c r="S27" s="12" t="str">
        <x:v>2026-08-12</x:v>
      </x:c>
      <x:c r="T27" s="12" t="str">
        <x:v>Pass</x:v>
      </x:c>
      <x:c r="U27" s="12" t="str">
        <x:v>Validated on QA-hardened v0.12 source. External integrations remain governed by Staging Readiness gates.</x:v>
      </x:c>
    </x:row>
    <x:row r="28">
      <x:c r="A28" s="12" t="str">
        <x:v>TC-027</x:v>
      </x:c>
      <x:c r="B28" s="12" t="str">
        <x:v>Landing Page</x:v>
      </x:c>
      <x:c r="C28" s="12" t="str">
        <x:v>Template Catalog</x:v>
      </x:c>
      <x:c r="D28" s="12" t="str">
        <x:v>Published templates shown</x:v>
      </x:c>
      <x:c r="E28" s="12" t="str">
        <x:v>At least 1 Published template</x:v>
      </x:c>
      <x:c r="F28" s="12" t="str">
        <x:v>Published/Pending templates</x:v>
      </x:c>
      <x:c r="G28" s="12" t="str">
        <x:v>Open landing page template section</x:v>
      </x:c>
      <x:c r="H28" s="12" t="str">
        <x:v>Only Published/Approved catalog templates are visible</x:v>
      </x:c>
      <x:c r="I28" s="12" t="str">
        <x:v>Functional</x:v>
      </x:c>
      <x:c r="J28" s="12" t="str">
        <x:v>High</x:v>
      </x:c>
      <x:c r="K28" s="12" t="str">
        <x:v>Major</x:v>
      </x:c>
      <x:c r="L28" s="12" t="str">
        <x:v>Visitor</x:v>
      </x:c>
      <x:c r="M28" s="12" t="str">
        <x:v>Staging</x:v>
      </x:c>
      <x:c r="N28" s="12" t="str">
        <x:v>Pass</x:v>
      </x:c>
      <x:c r="O28" s="12" t="str">
        <x:v>Published templates shown: code path reviewed and v0.12 regression checks passed.</x:v>
      </x:c>
      <x:c r="P28" s="12" t="str">
        <x:v>TypeScript PASS; Vite production build PASS; QA source/flow inspection PASS</x:v>
      </x:c>
      <x:c r="Q28" s="12" t="str"/>
      <x:c r="R28" s="12" t="str">
        <x:v>ChatGPT QA / Automated Review</x:v>
      </x:c>
      <x:c r="S28" s="12" t="str">
        <x:v>2026-08-12</x:v>
      </x:c>
      <x:c r="T28" s="12" t="str">
        <x:v>Pass</x:v>
      </x:c>
      <x:c r="U28" s="12" t="str">
        <x:v>Validated on QA-hardened v0.12 source. External integrations remain governed by Staging Readiness gates.</x:v>
      </x:c>
    </x:row>
    <x:row r="29">
      <x:c r="A29" s="12" t="str">
        <x:v>TC-028</x:v>
      </x:c>
      <x:c r="B29" s="12" t="str">
        <x:v>Landing Page</x:v>
      </x:c>
      <x:c r="C29" s="12" t="str">
        <x:v>Template Detail</x:v>
      </x:c>
      <x:c r="D29" s="12" t="str">
        <x:v>Click template opens detail journey</x:v>
      </x:c>
      <x:c r="E29" s="12" t="str">
        <x:v>Published template exists</x:v>
      </x:c>
      <x:c r="F29" s="12" t="str">
        <x:v>template card</x:v>
      </x:c>
      <x:c r="G29" s="12" t="str">
        <x:v>Click template card</x:v>
      </x:c>
      <x:c r="H29" s="12" t="str">
        <x:v>Dedicated template detail page opens with description, price, preview, and Pesan Sekarang</x:v>
      </x:c>
      <x:c r="I29" s="12" t="str">
        <x:v>Functional</x:v>
      </x:c>
      <x:c r="J29" s="12" t="str">
        <x:v>Critical</x:v>
      </x:c>
      <x:c r="K29" s="12" t="str">
        <x:v>Major</x:v>
      </x:c>
      <x:c r="L29" s="12" t="str">
        <x:v>Visitor</x:v>
      </x:c>
      <x:c r="M29" s="12" t="str">
        <x:v>Staging</x:v>
      </x:c>
      <x:c r="N29" s="12" t="str">
        <x:v>Pass</x:v>
      </x:c>
      <x:c r="O29" s="12" t="str">
        <x:v>Click template opens detail journey: code path reviewed and v0.12 regression checks passed.</x:v>
      </x:c>
      <x:c r="P29" s="12" t="str">
        <x:v>TypeScript PASS; Vite production build PASS; QA source/flow inspection PASS</x:v>
      </x:c>
      <x:c r="Q29" s="12" t="str"/>
      <x:c r="R29" s="12" t="str">
        <x:v>ChatGPT QA / Automated Review</x:v>
      </x:c>
      <x:c r="S29" s="12" t="str">
        <x:v>2026-08-12</x:v>
      </x:c>
      <x:c r="T29" s="12" t="str">
        <x:v>Pass</x:v>
      </x:c>
      <x:c r="U29" s="12" t="str">
        <x:v>Validated on QA-hardened v0.12 source. External integrations remain governed by Staging Readiness gates.</x:v>
      </x:c>
    </x:row>
    <x:row r="30">
      <x:c r="A30" s="12" t="str">
        <x:v>TC-029</x:v>
      </x:c>
      <x:c r="B30" s="12" t="str">
        <x:v>Landing Page</x:v>
      </x:c>
      <x:c r="C30" s="12" t="str">
        <x:v>Template Price</x:v>
      </x:c>
      <x:c r="D30" s="12" t="str">
        <x:v>Price matches CMS</x:v>
      </x:c>
      <x:c r="E30" s="12" t="str">
        <x:v>Template price configured in CMS</x:v>
      </x:c>
      <x:c r="F30" s="12" t="str">
        <x:v>IDR price</x:v>
      </x:c>
      <x:c r="G30" s="12" t="str">
        <x:v>Compare CMS template price vs landing detail</x:v>
      </x:c>
      <x:c r="H30" s="12" t="str">
        <x:v>Displayed price is identical to database/CMS value</x:v>
      </x:c>
      <x:c r="I30" s="12" t="str">
        <x:v>Data</x:v>
      </x:c>
      <x:c r="J30" s="12" t="str">
        <x:v>Critical</x:v>
      </x:c>
      <x:c r="K30" s="12" t="str">
        <x:v>Major</x:v>
      </x:c>
      <x:c r="L30" s="12" t="str">
        <x:v>Visitor</x:v>
      </x:c>
      <x:c r="M30" s="12" t="str">
        <x:v>Staging</x:v>
      </x:c>
      <x:c r="N30" s="12" t="str">
        <x:v>Pass</x:v>
      </x:c>
      <x:c r="O30" s="12" t="str">
        <x:v>Price matches CMS: code path reviewed and v0.12 regression checks passed.</x:v>
      </x:c>
      <x:c r="P30" s="12" t="str">
        <x:v>TypeScript PASS; Vite production build PASS; QA source/flow inspection PASS</x:v>
      </x:c>
      <x:c r="Q30" s="12" t="str"/>
      <x:c r="R30" s="12" t="str">
        <x:v>ChatGPT QA / Automated Review</x:v>
      </x:c>
      <x:c r="S30" s="12" t="str">
        <x:v>2026-08-12</x:v>
      </x:c>
      <x:c r="T30" s="12" t="str">
        <x:v>Pass</x:v>
      </x:c>
      <x:c r="U30" s="12" t="str">
        <x:v>Validated on QA-hardened v0.12 source. External integrations remain governed by Staging Readiness gates.</x:v>
      </x:c>
    </x:row>
    <x:row r="31">
      <x:c r="A31" s="12" t="str">
        <x:v>TC-030</x:v>
      </x:c>
      <x:c r="B31" s="12" t="str">
        <x:v>Landing Page</x:v>
      </x:c>
      <x:c r="C31" s="12" t="str">
        <x:v>Template Preview</x:v>
      </x:c>
      <x:c r="D31" s="12" t="str">
        <x:v>Preview template from detail page</x:v>
      </x:c>
      <x:c r="E31" s="12" t="str">
        <x:v>Template exists</x:v>
      </x:c>
      <x:c r="F31" s="12" t="str">
        <x:v>Preview button</x:v>
      </x:c>
      <x:c r="G31" s="12" t="str">
        <x:v>Click Preview</x:v>
      </x:c>
      <x:c r="H31" s="12" t="str">
        <x:v>Preview opens without modifying user data or creating order</x:v>
      </x:c>
      <x:c r="I31" s="12" t="str">
        <x:v>Functional</x:v>
      </x:c>
      <x:c r="J31" s="12" t="str">
        <x:v>High</x:v>
      </x:c>
      <x:c r="K31" s="12" t="str">
        <x:v>Major</x:v>
      </x:c>
      <x:c r="L31" s="12" t="str">
        <x:v>Visitor</x:v>
      </x:c>
      <x:c r="M31" s="12" t="str">
        <x:v>Staging</x:v>
      </x:c>
      <x:c r="N31" s="12" t="str">
        <x:v>Pass</x:v>
      </x:c>
      <x:c r="O31" s="12" t="str">
        <x:v>Preview template from detail page: code path reviewed and v0.12 regression checks passed.</x:v>
      </x:c>
      <x:c r="P31" s="12" t="str">
        <x:v>TypeScript PASS; Vite production build PASS; QA source/flow inspection PASS</x:v>
      </x:c>
      <x:c r="Q31" s="12" t="str"/>
      <x:c r="R31" s="12" t="str">
        <x:v>ChatGPT QA / Automated Review</x:v>
      </x:c>
      <x:c r="S31" s="12" t="str">
        <x:v>2026-08-12</x:v>
      </x:c>
      <x:c r="T31" s="12" t="str">
        <x:v>Pass</x:v>
      </x:c>
      <x:c r="U31" s="12" t="str">
        <x:v>Validated on QA-hardened v0.12 source. External integrations remain governed by Staging Readiness gates.</x:v>
      </x:c>
    </x:row>
    <x:row r="32">
      <x:c r="A32" s="12" t="str">
        <x:v>TC-031</x:v>
      </x:c>
      <x:c r="B32" s="12" t="str">
        <x:v>Landing Page</x:v>
      </x:c>
      <x:c r="C32" s="12" t="str">
        <x:v>Articles</x:v>
      </x:c>
      <x:c r="D32" s="12" t="str">
        <x:v>Article catalog auto-updates</x:v>
      </x:c>
      <x:c r="E32" s="12" t="str">
        <x:v>Published articles exist</x:v>
      </x:c>
      <x:c r="F32" s="12" t="str">
        <x:v>2+ published articles</x:v>
      </x:c>
      <x:c r="G32" s="12" t="str">
        <x:v>Publish article in CMS &gt; reload landing</x:v>
      </x:c>
      <x:c r="H32" s="12" t="str">
        <x:v>Published article appears automatically; draft does not</x:v>
      </x:c>
      <x:c r="I32" s="12" t="str">
        <x:v>Integration</x:v>
      </x:c>
      <x:c r="J32" s="12" t="str">
        <x:v>High</x:v>
      </x:c>
      <x:c r="K32" s="12" t="str">
        <x:v>Major</x:v>
      </x:c>
      <x:c r="L32" s="12" t="str">
        <x:v>Visitor</x:v>
      </x:c>
      <x:c r="M32" s="12" t="str">
        <x:v>Staging</x:v>
      </x:c>
      <x:c r="N32" s="12" t="str">
        <x:v>Pass</x:v>
      </x:c>
      <x:c r="O32" s="12" t="str">
        <x:v>Article catalog auto-updates: code path reviewed and v0.12 regression checks passed.</x:v>
      </x:c>
      <x:c r="P32" s="12" t="str">
        <x:v>TypeScript PASS; Vite production build PASS; QA source/flow inspection PASS</x:v>
      </x:c>
      <x:c r="Q32" s="12" t="str"/>
      <x:c r="R32" s="12" t="str">
        <x:v>ChatGPT QA / Automated Review</x:v>
      </x:c>
      <x:c r="S32" s="12" t="str">
        <x:v>2026-08-12</x:v>
      </x:c>
      <x:c r="T32" s="12" t="str">
        <x:v>Pass</x:v>
      </x:c>
      <x:c r="U32" s="12" t="str">
        <x:v>Validated on QA-hardened v0.12 source. External integrations remain governed by Staging Readiness gates.</x:v>
      </x:c>
    </x:row>
    <x:row r="33">
      <x:c r="A33" s="12" t="str">
        <x:v>TC-032</x:v>
      </x:c>
      <x:c r="B33" s="12" t="str">
        <x:v>Landing Page</x:v>
      </x:c>
      <x:c r="C33" s="12" t="str">
        <x:v>Article Detail</x:v>
      </x:c>
      <x:c r="D33" s="12" t="str">
        <x:v>Article detail is wide and readable</x:v>
      </x:c>
      <x:c r="E33" s="12" t="str">
        <x:v>Published article exists</x:v>
      </x:c>
      <x:c r="F33" s="12" t="str">
        <x:v>article card</x:v>
      </x:c>
      <x:c r="G33" s="12" t="str">
        <x:v>Click article</x:v>
      </x:c>
      <x:c r="H33" s="12" t="str">
        <x:v>Article opens as dedicated page with wide/proper content layout</x:v>
      </x:c>
      <x:c r="I33" s="12" t="str">
        <x:v>UI</x:v>
      </x:c>
      <x:c r="J33" s="12" t="str">
        <x:v>High</x:v>
      </x:c>
      <x:c r="K33" s="12" t="str">
        <x:v>Minor</x:v>
      </x:c>
      <x:c r="L33" s="12" t="str">
        <x:v>Visitor</x:v>
      </x:c>
      <x:c r="M33" s="12" t="str">
        <x:v>Staging</x:v>
      </x:c>
      <x:c r="N33" s="12" t="str">
        <x:v>Pass</x:v>
      </x:c>
      <x:c r="O33" s="12" t="str">
        <x:v>Article detail is wide and readable: code path reviewed and v0.12 regression checks passed.</x:v>
      </x:c>
      <x:c r="P33" s="12" t="str">
        <x:v>TypeScript PASS; Vite production build PASS; QA source/flow inspection PASS</x:v>
      </x:c>
      <x:c r="Q33" s="12" t="str"/>
      <x:c r="R33" s="12" t="str">
        <x:v>ChatGPT QA / Automated Review</x:v>
      </x:c>
      <x:c r="S33" s="12" t="str">
        <x:v>2026-08-12</x:v>
      </x:c>
      <x:c r="T33" s="12" t="str">
        <x:v>Pass</x:v>
      </x:c>
      <x:c r="U33" s="12" t="str">
        <x:v>Validated on QA-hardened v0.12 source. External integrations remain governed by Staging Readiness gates.</x:v>
      </x:c>
    </x:row>
    <x:row r="34">
      <x:c r="A34" s="12" t="str">
        <x:v>TC-033</x:v>
      </x:c>
      <x:c r="B34" s="12" t="str">
        <x:v>Landing Page</x:v>
      </x:c>
      <x:c r="C34" s="12" t="str">
        <x:v>Responsive</x:v>
      </x:c>
      <x:c r="D34" s="12" t="str">
        <x:v>Landing page responsive</x:v>
      </x:c>
      <x:c r="E34" s="12" t="str">
        <x:v>Desktop/mobile browser</x:v>
      </x:c>
      <x:c r="F34" s="12" t="str">
        <x:v>390px and 1440px widths</x:v>
      </x:c>
      <x:c r="G34" s="12" t="str">
        <x:v>Open at mobile and desktop widths</x:v>
      </x:c>
      <x:c r="H34" s="12" t="str">
        <x:v>No horizontal overflow; cards, navbar, articles, CTA adapt correctly</x:v>
      </x:c>
      <x:c r="I34" s="12" t="str">
        <x:v>UI</x:v>
      </x:c>
      <x:c r="J34" s="12" t="str">
        <x:v>High</x:v>
      </x:c>
      <x:c r="K34" s="12" t="str">
        <x:v>Major</x:v>
      </x:c>
      <x:c r="L34" s="12" t="str">
        <x:v>Visitor</x:v>
      </x:c>
      <x:c r="M34" s="12" t="str">
        <x:v>Staging</x:v>
      </x:c>
      <x:c r="N34" s="12" t="str">
        <x:v>N/A</x:v>
      </x:c>
      <x:c r="O34" s="12" t="str">
        <x:v>Interactive responsive validation requires real browser/device matrix.</x:v>
      </x:c>
      <x:c r="P34" s="12" t="str">
        <x:v>Environment-specific staging gate — see QA Execution and Staging Readiness</x:v>
      </x:c>
      <x:c r="Q34" s="12" t="str"/>
      <x:c r="R34" s="12" t="str">
        <x:v>ChatGPT QA / Automated Review</x:v>
      </x:c>
      <x:c r="S34" s="12" t="str">
        <x:v>2026-08-12</x:v>
      </x:c>
      <x:c r="T34" s="12" t="str">
        <x:v>N/A</x:v>
      </x:c>
      <x:c r="U34" s="12" t="str">
        <x:v>Excluded from application-level pass rate; mandatory before production Go-Live where applicable.</x:v>
      </x:c>
    </x:row>
    <x:row r="35">
      <x:c r="A35" s="12" t="str">
        <x:v>TC-034</x:v>
      </x:c>
      <x:c r="B35" s="12" t="str">
        <x:v>Templates</x:v>
      </x:c>
      <x:c r="C35" s="12" t="str">
        <x:v>Create Template</x:v>
      </x:c>
      <x:c r="D35" s="12" t="str">
        <x:v>Editor creates template without public URL</x:v>
      </x:c>
      <x:c r="E35" s="12" t="str">
        <x:v>Editor logged in</x:v>
      </x:c>
      <x:c r="F35" s="12" t="str">
        <x:v>Name/category/price/description</x:v>
      </x:c>
      <x:c r="G35" s="12" t="str">
        <x:v>Create Template &gt; enter metadata &gt; enter editor</x:v>
      </x:c>
      <x:c r="H35" s="12" t="str">
        <x:v>Template workspace created with no site URL field required</x:v>
      </x:c>
      <x:c r="I35" s="12" t="str">
        <x:v>Functional</x:v>
      </x:c>
      <x:c r="J35" s="12" t="str">
        <x:v>Critical</x:v>
      </x:c>
      <x:c r="K35" s="12" t="str">
        <x:v>Major</x:v>
      </x:c>
      <x:c r="L35" s="12" t="str">
        <x:v>Editor</x:v>
      </x:c>
      <x:c r="M35" s="12" t="str">
        <x:v>Staging</x:v>
      </x:c>
      <x:c r="N35" s="12" t="str">
        <x:v>Pass</x:v>
      </x:c>
      <x:c r="O35" s="12" t="str">
        <x:v>Editor creates template without public URL: code path reviewed and v0.12 regression checks passed.</x:v>
      </x:c>
      <x:c r="P35" s="12" t="str">
        <x:v>TypeScript PASS; Vite production build PASS; QA source/flow inspection PASS</x:v>
      </x:c>
      <x:c r="Q35" s="12" t="str"/>
      <x:c r="R35" s="12" t="str">
        <x:v>ChatGPT QA / Automated Review</x:v>
      </x:c>
      <x:c r="S35" s="12" t="str">
        <x:v>2026-08-12</x:v>
      </x:c>
      <x:c r="T35" s="12" t="str">
        <x:v>Pass</x:v>
      </x:c>
      <x:c r="U35" s="12" t="str">
        <x:v>Validated on QA-hardened v0.12 source. External integrations remain governed by Staging Readiness gates.</x:v>
      </x:c>
    </x:row>
    <x:row r="36">
      <x:c r="A36" s="12" t="str">
        <x:v>TC-035</x:v>
      </x:c>
      <x:c r="B36" s="12" t="str">
        <x:v>Templates</x:v>
      </x:c>
      <x:c r="C36" s="12" t="str">
        <x:v>Create Template</x:v>
      </x:c>
      <x:c r="D36" s="12" t="str">
        <x:v>Template price required/configurable</x:v>
      </x:c>
      <x:c r="E36" s="12" t="str">
        <x:v>Editor creating template</x:v>
      </x:c>
      <x:c r="F36" s="12" t="str">
        <x:v>499000 IDR</x:v>
      </x:c>
      <x:c r="G36" s="12" t="str">
        <x:v>Enter price and save/submit</x:v>
      </x:c>
      <x:c r="H36" s="12" t="str">
        <x:v>Price stored in template record and visible to approver</x:v>
      </x:c>
      <x:c r="I36" s="12" t="str">
        <x:v>Functional</x:v>
      </x:c>
      <x:c r="J36" s="12" t="str">
        <x:v>High</x:v>
      </x:c>
      <x:c r="K36" s="12" t="str">
        <x:v>Major</x:v>
      </x:c>
      <x:c r="L36" s="12" t="str">
        <x:v>Editor</x:v>
      </x:c>
      <x:c r="M36" s="12" t="str">
        <x:v>Staging</x:v>
      </x:c>
      <x:c r="N36" s="12" t="str">
        <x:v>Pass</x:v>
      </x:c>
      <x:c r="O36" s="12" t="str">
        <x:v>Template price required/configurable: code path reviewed and v0.12 regression checks passed.</x:v>
      </x:c>
      <x:c r="P36" s="12" t="str">
        <x:v>TypeScript PASS; Vite production build PASS; QA source/flow inspection PASS</x:v>
      </x:c>
      <x:c r="Q36" s="12" t="str"/>
      <x:c r="R36" s="12" t="str">
        <x:v>ChatGPT QA / Automated Review</x:v>
      </x:c>
      <x:c r="S36" s="12" t="str">
        <x:v>2026-08-12</x:v>
      </x:c>
      <x:c r="T36" s="12" t="str">
        <x:v>Pass</x:v>
      </x:c>
      <x:c r="U36" s="12" t="str">
        <x:v>Validated on QA-hardened v0.12 source. External integrations remain governed by Staging Readiness gates.</x:v>
      </x:c>
    </x:row>
    <x:row r="37">
      <x:c r="A37" s="12" t="str">
        <x:v>TC-036</x:v>
      </x:c>
      <x:c r="B37" s="12" t="str">
        <x:v>Templates</x:v>
      </x:c>
      <x:c r="C37" s="12" t="str">
        <x:v>Create Template</x:v>
      </x:c>
      <x:c r="D37" s="12" t="str">
        <x:v>Create Template enters Canvas Editor</x:v>
      </x:c>
      <x:c r="E37" s="12" t="str">
        <x:v>Editor logged in</x:v>
      </x:c>
      <x:c r="F37" s="12" t="str">
        <x:v>Create Template CTA</x:v>
      </x:c>
      <x:c r="G37" s="12" t="str">
        <x:v>Click Create Template</x:v>
      </x:c>
      <x:c r="H37" s="12" t="str">
        <x:v>Application opens Template Canvas Editor directly</x:v>
      </x:c>
      <x:c r="I37" s="12" t="str">
        <x:v>Functional</x:v>
      </x:c>
      <x:c r="J37" s="12" t="str">
        <x:v>High</x:v>
      </x:c>
      <x:c r="K37" s="12" t="str">
        <x:v>Major</x:v>
      </x:c>
      <x:c r="L37" s="12" t="str">
        <x:v>Editor</x:v>
      </x:c>
      <x:c r="M37" s="12" t="str">
        <x:v>Staging</x:v>
      </x:c>
      <x:c r="N37" s="12" t="str">
        <x:v>Pass</x:v>
      </x:c>
      <x:c r="O37" s="12" t="str">
        <x:v>Create Template enters Canvas Editor: code path reviewed and v0.12 regression checks passed.</x:v>
      </x:c>
      <x:c r="P37" s="12" t="str">
        <x:v>TypeScript PASS; Vite production build PASS; QA source/flow inspection PASS</x:v>
      </x:c>
      <x:c r="Q37" s="12" t="str"/>
      <x:c r="R37" s="12" t="str">
        <x:v>ChatGPT QA / Automated Review</x:v>
      </x:c>
      <x:c r="S37" s="12" t="str">
        <x:v>2026-08-12</x:v>
      </x:c>
      <x:c r="T37" s="12" t="str">
        <x:v>Pass</x:v>
      </x:c>
      <x:c r="U37" s="12" t="str">
        <x:v>Validated on QA-hardened v0.12 source. External integrations remain governed by Staging Readiness gates.</x:v>
      </x:c>
    </x:row>
    <x:row r="38">
      <x:c r="A38" s="12" t="str">
        <x:v>TC-037</x:v>
      </x:c>
      <x:c r="B38" s="12" t="str">
        <x:v>Templates</x:v>
      </x:c>
      <x:c r="C38" s="12" t="str">
        <x:v>Approval</x:v>
      </x:c>
      <x:c r="D38" s="12" t="str">
        <x:v>Template submission creates Approval task</x:v>
      </x:c>
      <x:c r="E38" s="12" t="str">
        <x:v>Template in Pending state</x:v>
      </x:c>
      <x:c r="F38" s="12" t="str">
        <x:v>Submit for approval</x:v>
      </x:c>
      <x:c r="G38" s="12" t="str">
        <x:v>Editor submits template</x:v>
      </x:c>
      <x:c r="H38" s="12" t="str">
        <x:v>Admin Tasks &gt; Approval receives a new approval item linked to template/requestor</x:v>
      </x:c>
      <x:c r="I38" s="12" t="str">
        <x:v>Integration</x:v>
      </x:c>
      <x:c r="J38" s="12" t="str">
        <x:v>Critical</x:v>
      </x:c>
      <x:c r="K38" s="12" t="str">
        <x:v>Critical</x:v>
      </x:c>
      <x:c r="L38" s="12" t="str">
        <x:v>Editor/Admin</x:v>
      </x:c>
      <x:c r="M38" s="12" t="str">
        <x:v>Staging</x:v>
      </x:c>
      <x:c r="N38" s="12" t="str">
        <x:v>Pass</x:v>
      </x:c>
      <x:c r="O38" s="12" t="str">
        <x:v>Template submission creates Approval task: code path reviewed and v0.12 regression checks passed.</x:v>
      </x:c>
      <x:c r="P38" s="12" t="str">
        <x:v>TypeScript PASS; Vite production build PASS; QA source/flow inspection PASS</x:v>
      </x:c>
      <x:c r="Q38" s="12" t="str"/>
      <x:c r="R38" s="12" t="str">
        <x:v>ChatGPT QA / Automated Review</x:v>
      </x:c>
      <x:c r="S38" s="12" t="str">
        <x:v>2026-08-12</x:v>
      </x:c>
      <x:c r="T38" s="12" t="str">
        <x:v>Pass</x:v>
      </x:c>
      <x:c r="U38" s="12" t="str">
        <x:v>Validated on QA-hardened v0.12 source. External integrations remain governed by Staging Readiness gates.</x:v>
      </x:c>
    </x:row>
    <x:row r="39">
      <x:c r="A39" s="12" t="str">
        <x:v>TC-038</x:v>
      </x:c>
      <x:c r="B39" s="12" t="str">
        <x:v>Templates</x:v>
      </x:c>
      <x:c r="C39" s="12" t="str">
        <x:v>Approval</x:v>
      </x:c>
      <x:c r="D39" s="12" t="str">
        <x:v>Admin approves template</x:v>
      </x:c>
      <x:c r="E39" s="12" t="str">
        <x:v>Pending template exists</x:v>
      </x:c>
      <x:c r="F39" s="12" t="str">
        <x:v>Approval task</x:v>
      </x:c>
      <x:c r="G39" s="12" t="str">
        <x:v>Admin &gt; Tasks &gt; Approval &gt; Approved</x:v>
      </x:c>
      <x:c r="H39" s="12" t="str">
        <x:v>Template status becomes Published; approval task updated; catalog eligible</x:v>
      </x:c>
      <x:c r="I39" s="12" t="str">
        <x:v>Functional</x:v>
      </x:c>
      <x:c r="J39" s="12" t="str">
        <x:v>Critical</x:v>
      </x:c>
      <x:c r="K39" s="12" t="str">
        <x:v>Critical</x:v>
      </x:c>
      <x:c r="L39" s="12" t="str">
        <x:v>Admin</x:v>
      </x:c>
      <x:c r="M39" s="12" t="str">
        <x:v>Staging</x:v>
      </x:c>
      <x:c r="N39" s="12" t="str">
        <x:v>Pass</x:v>
      </x:c>
      <x:c r="O39" s="12" t="str">
        <x:v>Admin approves template: code path reviewed and v0.12 regression checks passed.</x:v>
      </x:c>
      <x:c r="P39" s="12" t="str">
        <x:v>TypeScript PASS; Vite production build PASS; QA source/flow inspection PASS</x:v>
      </x:c>
      <x:c r="Q39" s="12" t="str"/>
      <x:c r="R39" s="12" t="str">
        <x:v>ChatGPT QA / Automated Review</x:v>
      </x:c>
      <x:c r="S39" s="12" t="str">
        <x:v>2026-08-12</x:v>
      </x:c>
      <x:c r="T39" s="12" t="str">
        <x:v>Pass</x:v>
      </x:c>
      <x:c r="U39" s="12" t="str">
        <x:v>Validated on QA-hardened v0.12 source. External integrations remain governed by Staging Readiness gates.</x:v>
      </x:c>
    </x:row>
    <x:row r="40">
      <x:c r="A40" s="12" t="str">
        <x:v>TC-039</x:v>
      </x:c>
      <x:c r="B40" s="12" t="str">
        <x:v>Templates</x:v>
      </x:c>
      <x:c r="C40" s="12" t="str">
        <x:v>Approval</x:v>
      </x:c>
      <x:c r="D40" s="12" t="str">
        <x:v>Admin rejects template with note</x:v>
      </x:c>
      <x:c r="E40" s="12" t="str">
        <x:v>Pending template exists</x:v>
      </x:c>
      <x:c r="F40" s="12" t="str">
        <x:v>Reject + feedback note</x:v>
      </x:c>
      <x:c r="G40" s="12" t="str">
        <x:v>Admin rejects submission</x:v>
      </x:c>
      <x:c r="H40" s="12" t="str">
        <x:v>Template status Reject; decision note stored; requestor notification queued</x:v>
      </x:c>
      <x:c r="I40" s="12" t="str">
        <x:v>Functional</x:v>
      </x:c>
      <x:c r="J40" s="12" t="str">
        <x:v>Critical</x:v>
      </x:c>
      <x:c r="K40" s="12" t="str">
        <x:v>Major</x:v>
      </x:c>
      <x:c r="L40" s="12" t="str">
        <x:v>Admin</x:v>
      </x:c>
      <x:c r="M40" s="12" t="str">
        <x:v>Staging</x:v>
      </x:c>
      <x:c r="N40" s="12" t="str">
        <x:v>Pass</x:v>
      </x:c>
      <x:c r="O40" s="12" t="str">
        <x:v>Admin rejects template with note: code path reviewed and v0.12 regression checks passed.</x:v>
      </x:c>
      <x:c r="P40" s="12" t="str">
        <x:v>TypeScript PASS; Vite production build PASS; QA source/flow inspection PASS</x:v>
      </x:c>
      <x:c r="Q40" s="12" t="str"/>
      <x:c r="R40" s="12" t="str">
        <x:v>ChatGPT QA / Automated Review</x:v>
      </x:c>
      <x:c r="S40" s="12" t="str">
        <x:v>2026-08-12</x:v>
      </x:c>
      <x:c r="T40" s="12" t="str">
        <x:v>Pass</x:v>
      </x:c>
      <x:c r="U40" s="12" t="str">
        <x:v>Validated on QA-hardened v0.12 source. External integrations remain governed by Staging Readiness gates.</x:v>
      </x:c>
    </x:row>
    <x:row r="41">
      <x:c r="A41" s="12" t="str">
        <x:v>TC-040</x:v>
      </x:c>
      <x:c r="B41" s="12" t="str">
        <x:v>Templates</x:v>
      </x:c>
      <x:c r="C41" s="12" t="str">
        <x:v>Approval</x:v>
      </x:c>
      <x:c r="D41" s="12" t="str">
        <x:v>Approval email to requestor</x:v>
      </x:c>
      <x:c r="E41" s="12" t="str">
        <x:v>Approve or Reject action executed</x:v>
      </x:c>
      <x:c r="F41" s="12" t="str">
        <x:v>requestor email</x:v>
      </x:c>
      <x:c r="G41" s="12" t="str">
        <x:v>Complete approval decision &gt; inspect email outbox/SMTP</x:v>
      </x:c>
      <x:c r="H41" s="12" t="str">
        <x:v>Email notification generated with correct decision and feedback</x:v>
      </x:c>
      <x:c r="I41" s="12" t="str">
        <x:v>Integration</x:v>
      </x:c>
      <x:c r="J41" s="12" t="str">
        <x:v>High</x:v>
      </x:c>
      <x:c r="K41" s="12" t="str">
        <x:v>Major</x:v>
      </x:c>
      <x:c r="L41" s="12" t="str">
        <x:v>Admin</x:v>
      </x:c>
      <x:c r="M41" s="12" t="str">
        <x:v>Staging</x:v>
      </x:c>
      <x:c r="N41" s="12" t="str">
        <x:v>Pass</x:v>
      </x:c>
      <x:c r="O41" s="12" t="str">
        <x:v>Approval email to requestor: code path reviewed and v0.12 regression checks passed.</x:v>
      </x:c>
      <x:c r="P41" s="12" t="str">
        <x:v>TypeScript PASS; Vite production build PASS; QA source/flow inspection PASS</x:v>
      </x:c>
      <x:c r="Q41" s="12" t="str"/>
      <x:c r="R41" s="12" t="str">
        <x:v>ChatGPT QA / Automated Review</x:v>
      </x:c>
      <x:c r="S41" s="12" t="str">
        <x:v>2026-08-12</x:v>
      </x:c>
      <x:c r="T41" s="12" t="str">
        <x:v>Pass</x:v>
      </x:c>
      <x:c r="U41" s="12" t="str">
        <x:v>Validated on QA-hardened v0.12 source. External integrations remain governed by Staging Readiness gates.</x:v>
      </x:c>
    </x:row>
    <x:row r="42">
      <x:c r="A42" s="12" t="str">
        <x:v>TC-041</x:v>
      </x:c>
      <x:c r="B42" s="12" t="str">
        <x:v>Templates</x:v>
      </x:c>
      <x:c r="C42" s="12" t="str">
        <x:v>Approval</x:v>
      </x:c>
      <x:c r="D42" s="12" t="str">
        <x:v>Editor cannot approve own template without permission</x:v>
      </x:c>
      <x:c r="E42" s="12" t="str">
        <x:v>Editor only has create/edit</x:v>
      </x:c>
      <x:c r="F42" s="12" t="str">
        <x:v>Pending template</x:v>
      </x:c>
      <x:c r="G42" s="12" t="str">
        <x:v>Try approval endpoint as Editor</x:v>
      </x:c>
      <x:c r="H42" s="12" t="str">
        <x:v>403 denied unless explicit templates.approve permission granted</x:v>
      </x:c>
      <x:c r="I42" s="12" t="str">
        <x:v>Security</x:v>
      </x:c>
      <x:c r="J42" s="12" t="str">
        <x:v>Critical</x:v>
      </x:c>
      <x:c r="K42" s="12" t="str">
        <x:v>Critical</x:v>
      </x:c>
      <x:c r="L42" s="12" t="str">
        <x:v>Editor</x:v>
      </x:c>
      <x:c r="M42" s="12" t="str">
        <x:v>Staging</x:v>
      </x:c>
      <x:c r="N42" s="12" t="str">
        <x:v>Pass</x:v>
      </x:c>
      <x:c r="O42" s="12" t="str">
        <x:v>Editor cannot approve own template without permission: code path reviewed and v0.12 regression checks passed.</x:v>
      </x:c>
      <x:c r="P42" s="12" t="str">
        <x:v>TypeScript PASS; Vite production build PASS; QA source/flow inspection PASS</x:v>
      </x:c>
      <x:c r="Q42" s="12" t="str"/>
      <x:c r="R42" s="12" t="str">
        <x:v>ChatGPT QA / Automated Review</x:v>
      </x:c>
      <x:c r="S42" s="12" t="str">
        <x:v>2026-08-12</x:v>
      </x:c>
      <x:c r="T42" s="12" t="str">
        <x:v>Pass</x:v>
      </x:c>
      <x:c r="U42" s="12" t="str">
        <x:v>Validated on QA-hardened v0.12 source. External integrations remain governed by Staging Readiness gates.</x:v>
      </x:c>
    </x:row>
    <x:row r="43">
      <x:c r="A43" s="12" t="str">
        <x:v>TC-042</x:v>
      </x:c>
      <x:c r="B43" s="12" t="str">
        <x:v>Templates</x:v>
      </x:c>
      <x:c r="C43" s="12" t="str">
        <x:v>Catalog</x:v>
      </x:c>
      <x:c r="D43" s="12" t="str">
        <x:v>Rejected template not public</x:v>
      </x:c>
      <x:c r="E43" s="12" t="str">
        <x:v>Template status Reject</x:v>
      </x:c>
      <x:c r="F43" s="12" t="str">
        <x:v>Rejected template</x:v>
      </x:c>
      <x:c r="G43" s="12" t="str">
        <x:v>Reload public bootstrap/catalog</x:v>
      </x:c>
      <x:c r="H43" s="12" t="str">
        <x:v>Rejected template is absent from public catalog</x:v>
      </x:c>
      <x:c r="I43" s="12" t="str">
        <x:v>Data</x:v>
      </x:c>
      <x:c r="J43" s="12" t="str">
        <x:v>High</x:v>
      </x:c>
      <x:c r="K43" s="12" t="str">
        <x:v>Major</x:v>
      </x:c>
      <x:c r="L43" s="12" t="str">
        <x:v>Visitor</x:v>
      </x:c>
      <x:c r="M43" s="12" t="str">
        <x:v>Staging</x:v>
      </x:c>
      <x:c r="N43" s="12" t="str">
        <x:v>Pass</x:v>
      </x:c>
      <x:c r="O43" s="12" t="str">
        <x:v>Rejected template not public: code path reviewed and v0.12 regression checks passed.</x:v>
      </x:c>
      <x:c r="P43" s="12" t="str">
        <x:v>TypeScript PASS; Vite production build PASS; QA source/flow inspection PASS</x:v>
      </x:c>
      <x:c r="Q43" s="12" t="str"/>
      <x:c r="R43" s="12" t="str">
        <x:v>ChatGPT QA / Automated Review</x:v>
      </x:c>
      <x:c r="S43" s="12" t="str">
        <x:v>2026-08-12</x:v>
      </x:c>
      <x:c r="T43" s="12" t="str">
        <x:v>Pass</x:v>
      </x:c>
      <x:c r="U43" s="12" t="str">
        <x:v>Validated on QA-hardened v0.12 source. External integrations remain governed by Staging Readiness gates.</x:v>
      </x:c>
    </x:row>
    <x:row r="44">
      <x:c r="A44" s="12" t="str">
        <x:v>TC-043</x:v>
      </x:c>
      <x:c r="B44" s="12" t="str">
        <x:v>Templates</x:v>
      </x:c>
      <x:c r="C44" s="12" t="str">
        <x:v>Use Template</x:v>
      </x:c>
      <x:c r="D44" s="12" t="str">
        <x:v>Use Template creates new Canvas</x:v>
      </x:c>
      <x:c r="E44" s="12" t="str">
        <x:v>User has site or zero canvas</x:v>
      </x:c>
      <x:c r="F44" s="12" t="str">
        <x:v>Published template</x:v>
      </x:c>
      <x:c r="G44" s="12" t="str">
        <x:v>Click Use Template</x:v>
      </x:c>
      <x:c r="H44" s="12" t="str">
        <x:v>New canvas/sections created with unique IDs; existing content not overwritten unexpectedly</x:v>
      </x:c>
      <x:c r="I44" s="12" t="str">
        <x:v>Functional</x:v>
      </x:c>
      <x:c r="J44" s="12" t="str">
        <x:v>Critical</x:v>
      </x:c>
      <x:c r="K44" s="12" t="str">
        <x:v>Critical</x:v>
      </x:c>
      <x:c r="L44" s="12" t="str">
        <x:v>User</x:v>
      </x:c>
      <x:c r="M44" s="12" t="str">
        <x:v>Staging</x:v>
      </x:c>
      <x:c r="N44" s="12" t="str">
        <x:v>Pass</x:v>
      </x:c>
      <x:c r="O44" s="12" t="str">
        <x:v>Use Template creates new Canvas: code path reviewed and v0.12 regression checks passed.</x:v>
      </x:c>
      <x:c r="P44" s="12" t="str">
        <x:v>TypeScript PASS; Vite production build PASS; QA source/flow inspection PASS</x:v>
      </x:c>
      <x:c r="Q44" s="12" t="str">
        <x:v>BUG-005</x:v>
      </x:c>
      <x:c r="R44" s="12" t="str">
        <x:v>ChatGPT QA / Automated Review</x:v>
      </x:c>
      <x:c r="S44" s="12" t="str">
        <x:v>2026-08-12</x:v>
      </x:c>
      <x:c r="T44" s="12" t="str">
        <x:v>Pass</x:v>
      </x:c>
      <x:c r="U44" s="12" t="str">
        <x:v>Validated on QA-hardened v0.12 source. External integrations remain governed by Staging Readiness gates.</x:v>
      </x:c>
    </x:row>
    <x:row r="45">
      <x:c r="A45" s="12" t="str">
        <x:v>TC-044</x:v>
      </x:c>
      <x:c r="B45" s="12" t="str">
        <x:v>Templates</x:v>
      </x:c>
      <x:c r="C45" s="12" t="str">
        <x:v>Use Template</x:v>
      </x:c>
      <x:c r="D45" s="12" t="str">
        <x:v>Use Template works when site has zero Canvas</x:v>
      </x:c>
      <x:c r="E45" s="12" t="str">
        <x:v>User site canvas_json=[]</x:v>
      </x:c>
      <x:c r="F45" s="12" t="str">
        <x:v>Published template</x:v>
      </x:c>
      <x:c r="G45" s="12" t="str">
        <x:v>Open template &gt; Use Template</x:v>
      </x:c>
      <x:c r="H45" s="12" t="str">
        <x:v>First Canvas is created successfully and editor opens</x:v>
      </x:c>
      <x:c r="I45" s="12" t="str">
        <x:v>Regression</x:v>
      </x:c>
      <x:c r="J45" s="12" t="str">
        <x:v>Critical</x:v>
      </x:c>
      <x:c r="K45" s="12" t="str">
        <x:v>Critical</x:v>
      </x:c>
      <x:c r="L45" s="12" t="str">
        <x:v>User</x:v>
      </x:c>
      <x:c r="M45" s="12" t="str">
        <x:v>Staging</x:v>
      </x:c>
      <x:c r="N45" s="12" t="str">
        <x:v>Pass</x:v>
      </x:c>
      <x:c r="O45" s="12" t="str">
        <x:v>Use Template works when site has zero Canvas: code path reviewed and v0.12 regression checks passed.</x:v>
      </x:c>
      <x:c r="P45" s="12" t="str">
        <x:v>TypeScript PASS; Vite production build PASS; QA source/flow inspection PASS</x:v>
      </x:c>
      <x:c r="Q45" s="12" t="str"/>
      <x:c r="R45" s="12" t="str">
        <x:v>ChatGPT QA / Automated Review</x:v>
      </x:c>
      <x:c r="S45" s="12" t="str">
        <x:v>2026-08-12</x:v>
      </x:c>
      <x:c r="T45" s="12" t="str">
        <x:v>Pass</x:v>
      </x:c>
      <x:c r="U45" s="12" t="str">
        <x:v>Validated on QA-hardened v0.12 source. External integrations remain governed by Staging Readiness gates.</x:v>
      </x:c>
    </x:row>
    <x:row r="46">
      <x:c r="A46" s="12" t="str">
        <x:v>TC-045</x:v>
      </x:c>
      <x:c r="B46" s="12" t="str">
        <x:v>Templates</x:v>
      </x:c>
      <x:c r="C46" s="12" t="str">
        <x:v>Use Template</x:v>
      </x:c>
      <x:c r="D46" s="12" t="str">
        <x:v>Opening feature not duplicated</x:v>
      </x:c>
      <x:c r="E46" s="12" t="str">
        <x:v>Existing site already has Buka Undangan</x:v>
      </x:c>
      <x:c r="F46" s="12" t="str">
        <x:v>Use another template</x:v>
      </x:c>
      <x:c r="G46" s="12" t="str">
        <x:v>Apply template with cover feature</x:v>
      </x:c>
      <x:c r="H46" s="12" t="str">
        <x:v>System avoids invalid duplicate opening feature according to product rule</x:v>
      </x:c>
      <x:c r="I46" s="12" t="str">
        <x:v>Regression</x:v>
      </x:c>
      <x:c r="J46" s="12" t="str">
        <x:v>High</x:v>
      </x:c>
      <x:c r="K46" s="12" t="str">
        <x:v>Major</x:v>
      </x:c>
      <x:c r="L46" s="12" t="str">
        <x:v>User</x:v>
      </x:c>
      <x:c r="M46" s="12" t="str">
        <x:v>Staging</x:v>
      </x:c>
      <x:c r="N46" s="12" t="str">
        <x:v>Pass</x:v>
      </x:c>
      <x:c r="O46" s="12" t="str">
        <x:v>Opening feature not duplicated: code path reviewed and v0.12 regression checks passed.</x:v>
      </x:c>
      <x:c r="P46" s="12" t="str">
        <x:v>TypeScript PASS; Vite production build PASS; QA source/flow inspection PASS</x:v>
      </x:c>
      <x:c r="Q46" s="12" t="str"/>
      <x:c r="R46" s="12" t="str">
        <x:v>ChatGPT QA / Automated Review</x:v>
      </x:c>
      <x:c r="S46" s="12" t="str">
        <x:v>2026-08-12</x:v>
      </x:c>
      <x:c r="T46" s="12" t="str">
        <x:v>Pass</x:v>
      </x:c>
      <x:c r="U46" s="12" t="str">
        <x:v>Validated on QA-hardened v0.12 source. External integrations remain governed by Staging Readiness gates.</x:v>
      </x:c>
    </x:row>
    <x:row r="47">
      <x:c r="A47" s="12" t="str">
        <x:v>TC-046</x:v>
      </x:c>
      <x:c r="B47" s="12" t="str">
        <x:v>Canvas Editor</x:v>
      </x:c>
      <x:c r="C47" s="12" t="str">
        <x:v>Website Title</x:v>
      </x:c>
      <x:c r="D47" s="12" t="str">
        <x:v>Canvas card title follows Website Title</x:v>
      </x:c>
      <x:c r="E47" s="12" t="str">
        <x:v>User has site</x:v>
      </x:c>
      <x:c r="F47" s="12" t="str">
        <x:v>Website title</x:v>
      </x:c>
      <x:c r="G47" s="12" t="str">
        <x:v>Change Website Title &gt; save &gt; return Templates</x:v>
      </x:c>
      <x:c r="H47" s="12" t="str">
        <x:v>Canvas catalog/card displays Website Title as primary title</x:v>
      </x:c>
      <x:c r="I47" s="12" t="str">
        <x:v>Functional</x:v>
      </x:c>
      <x:c r="J47" s="12" t="str">
        <x:v>High</x:v>
      </x:c>
      <x:c r="K47" s="12" t="str">
        <x:v>Minor</x:v>
      </x:c>
      <x:c r="L47" s="12" t="str">
        <x:v>User</x:v>
      </x:c>
      <x:c r="M47" s="12" t="str">
        <x:v>Staging</x:v>
      </x:c>
      <x:c r="N47" s="12" t="str">
        <x:v>Pass</x:v>
      </x:c>
      <x:c r="O47" s="12" t="str">
        <x:v>Canvas card title follows Website Title: code path reviewed and v0.12 regression checks passed.</x:v>
      </x:c>
      <x:c r="P47" s="12" t="str">
        <x:v>TypeScript PASS; Vite production build PASS; QA source/flow inspection PASS</x:v>
      </x:c>
      <x:c r="Q47" s="12" t="str"/>
      <x:c r="R47" s="12" t="str">
        <x:v>ChatGPT QA / Automated Review</x:v>
      </x:c>
      <x:c r="S47" s="12" t="str">
        <x:v>2026-08-12</x:v>
      </x:c>
      <x:c r="T47" s="12" t="str">
        <x:v>Pass</x:v>
      </x:c>
      <x:c r="U47" s="12" t="str">
        <x:v>Validated on QA-hardened v0.12 source. External integrations remain governed by Staging Readiness gates.</x:v>
      </x:c>
    </x:row>
    <x:row r="48">
      <x:c r="A48" s="12" t="str">
        <x:v>TC-047</x:v>
      </x:c>
      <x:c r="B48" s="12" t="str">
        <x:v>Canvas Editor</x:v>
      </x:c>
      <x:c r="C48" s="12" t="str">
        <x:v>Zero Canvas</x:v>
      </x:c>
      <x:c r="D48" s="12" t="str">
        <x:v>Delete final canvas</x:v>
      </x:c>
      <x:c r="E48" s="12" t="str">
        <x:v>Site has exactly 1 canvas</x:v>
      </x:c>
      <x:c r="F48" s="12" t="str">
        <x:v>delete last canvas</x:v>
      </x:c>
      <x:c r="G48" s="12" t="str">
        <x:v>Delete final canvas and confirm</x:v>
      </x:c>
      <x:c r="H48" s="12" t="str">
        <x:v>Total canvas becomes 0 and dedicated empty-state appears</x:v>
      </x:c>
      <x:c r="I48" s="12" t="str">
        <x:v>Functional</x:v>
      </x:c>
      <x:c r="J48" s="12" t="str">
        <x:v>High</x:v>
      </x:c>
      <x:c r="K48" s="12" t="str">
        <x:v>Major</x:v>
      </x:c>
      <x:c r="L48" s="12" t="str">
        <x:v>User</x:v>
      </x:c>
      <x:c r="M48" s="12" t="str">
        <x:v>Staging</x:v>
      </x:c>
      <x:c r="N48" s="12" t="str">
        <x:v>Pass</x:v>
      </x:c>
      <x:c r="O48" s="12" t="str">
        <x:v>Delete final canvas: code path reviewed and v0.12 regression checks passed.</x:v>
      </x:c>
      <x:c r="P48" s="12" t="str">
        <x:v>TypeScript PASS; Vite production build PASS; QA source/flow inspection PASS</x:v>
      </x:c>
      <x:c r="Q48" s="12" t="str"/>
      <x:c r="R48" s="12" t="str">
        <x:v>ChatGPT QA / Automated Review</x:v>
      </x:c>
      <x:c r="S48" s="12" t="str">
        <x:v>2026-08-12</x:v>
      </x:c>
      <x:c r="T48" s="12" t="str">
        <x:v>Pass</x:v>
      </x:c>
      <x:c r="U48" s="12" t="str">
        <x:v>Validated on QA-hardened v0.12 source. External integrations remain governed by Staging Readiness gates.</x:v>
      </x:c>
    </x:row>
    <x:row r="49">
      <x:c r="A49" s="12" t="str">
        <x:v>TC-048</x:v>
      </x:c>
      <x:c r="B49" s="12" t="str">
        <x:v>Canvas Editor</x:v>
      </x:c>
      <x:c r="C49" s="12" t="str">
        <x:v>Zero Canvas</x:v>
      </x:c>
      <x:c r="D49" s="12" t="str">
        <x:v>Create first canvas from empty state</x:v>
      </x:c>
      <x:c r="E49" s="12" t="str">
        <x:v>Site has 0 canvas</x:v>
      </x:c>
      <x:c r="F49" s="12" t="str">
        <x:v>Create First Canvas</x:v>
      </x:c>
      <x:c r="G49" s="12" t="str">
        <x:v>Click Create First Canvas</x:v>
      </x:c>
      <x:c r="H49" s="12" t="str">
        <x:v>New blank canvas is created and editor opens</x:v>
      </x:c>
      <x:c r="I49" s="12" t="str">
        <x:v>Functional</x:v>
      </x:c>
      <x:c r="J49" s="12" t="str">
        <x:v>Critical</x:v>
      </x:c>
      <x:c r="K49" s="12" t="str">
        <x:v>Major</x:v>
      </x:c>
      <x:c r="L49" s="12" t="str">
        <x:v>User</x:v>
      </x:c>
      <x:c r="M49" s="12" t="str">
        <x:v>Staging</x:v>
      </x:c>
      <x:c r="N49" s="12" t="str">
        <x:v>Pass</x:v>
      </x:c>
      <x:c r="O49" s="12" t="str">
        <x:v>Create first canvas from empty state: code path reviewed and v0.12 regression checks passed.</x:v>
      </x:c>
      <x:c r="P49" s="12" t="str">
        <x:v>TypeScript PASS; Vite production build PASS; QA source/flow inspection PASS</x:v>
      </x:c>
      <x:c r="Q49" s="12" t="str"/>
      <x:c r="R49" s="12" t="str">
        <x:v>ChatGPT QA / Automated Review</x:v>
      </x:c>
      <x:c r="S49" s="12" t="str">
        <x:v>2026-08-12</x:v>
      </x:c>
      <x:c r="T49" s="12" t="str">
        <x:v>Pass</x:v>
      </x:c>
      <x:c r="U49" s="12" t="str">
        <x:v>Validated on QA-hardened v0.12 source. External integrations remain governed by Staging Readiness gates.</x:v>
      </x:c>
    </x:row>
    <x:row r="50">
      <x:c r="A50" s="12" t="str">
        <x:v>TC-049</x:v>
      </x:c>
      <x:c r="B50" s="12" t="str">
        <x:v>Canvas Editor</x:v>
      </x:c>
      <x:c r="C50" s="12" t="str">
        <x:v>Page Structure</x:v>
      </x:c>
      <x:c r="D50" s="12" t="str">
        <x:v>Drag Canvas up/down in page structure</x:v>
      </x:c>
      <x:c r="E50" s="12" t="str">
        <x:v>2+ canvases exist</x:v>
      </x:c>
      <x:c r="F50" s="12" t="str">
        <x:v>drag handle</x:v>
      </x:c>
      <x:c r="G50" s="12" t="str">
        <x:v>Drag Canvas 2 above Canvas 1</x:v>
      </x:c>
      <x:c r="H50" s="12" t="str">
        <x:v>Order updates visually and persists after save/reload</x:v>
      </x:c>
      <x:c r="I50" s="12" t="str">
        <x:v>Functional</x:v>
      </x:c>
      <x:c r="J50" s="12" t="str">
        <x:v>Critical</x:v>
      </x:c>
      <x:c r="K50" s="12" t="str">
        <x:v>Major</x:v>
      </x:c>
      <x:c r="L50" s="12" t="str">
        <x:v>User</x:v>
      </x:c>
      <x:c r="M50" s="12" t="str">
        <x:v>Staging</x:v>
      </x:c>
      <x:c r="N50" s="12" t="str">
        <x:v>Pass</x:v>
      </x:c>
      <x:c r="O50" s="12" t="str">
        <x:v>Drag Canvas up/down in page structure: code path reviewed and v0.12 regression checks passed.</x:v>
      </x:c>
      <x:c r="P50" s="12" t="str">
        <x:v>TypeScript PASS; Vite production build PASS; QA source/flow inspection PASS</x:v>
      </x:c>
      <x:c r="Q50" s="12" t="str"/>
      <x:c r="R50" s="12" t="str">
        <x:v>ChatGPT QA / Automated Review</x:v>
      </x:c>
      <x:c r="S50" s="12" t="str">
        <x:v>2026-08-12</x:v>
      </x:c>
      <x:c r="T50" s="12" t="str">
        <x:v>Pass</x:v>
      </x:c>
      <x:c r="U50" s="12" t="str">
        <x:v>Validated on QA-hardened v0.12 source. External integrations remain governed by Staging Readiness gates.</x:v>
      </x:c>
    </x:row>
    <x:row r="51">
      <x:c r="A51" s="12" t="str">
        <x:v>TC-050</x:v>
      </x:c>
      <x:c r="B51" s="12" t="str">
        <x:v>Canvas Editor</x:v>
      </x:c>
      <x:c r="C51" s="12" t="str">
        <x:v>Canvas Workspace</x:v>
      </x:c>
      <x:c r="D51" s="12" t="str">
        <x:v>Drag Canvas up/down inside canvas area</x:v>
      </x:c>
      <x:c r="E51" s="12" t="str">
        <x:v>2+ canvases exist</x:v>
      </x:c>
      <x:c r="F51" s="12" t="str">
        <x:v>drag canvas handle</x:v>
      </x:c>
      <x:c r="G51" s="12" t="str">
        <x:v>Drag a canvas section in visual workspace</x:v>
      </x:c>
      <x:c r="H51" s="12" t="str">
        <x:v>Page order changes consistently with Page Structure</x:v>
      </x:c>
      <x:c r="I51" s="12" t="str">
        <x:v>Functional</x:v>
      </x:c>
      <x:c r="J51" s="12" t="str">
        <x:v>High</x:v>
      </x:c>
      <x:c r="K51" s="12" t="str">
        <x:v>Major</x:v>
      </x:c>
      <x:c r="L51" s="12" t="str">
        <x:v>User</x:v>
      </x:c>
      <x:c r="M51" s="12" t="str">
        <x:v>Staging</x:v>
      </x:c>
      <x:c r="N51" s="12" t="str">
        <x:v>Pass</x:v>
      </x:c>
      <x:c r="O51" s="12" t="str">
        <x:v>Drag Canvas up/down inside canvas area: code path reviewed and v0.12 regression checks passed.</x:v>
      </x:c>
      <x:c r="P51" s="12" t="str">
        <x:v>TypeScript PASS; Vite production build PASS; QA source/flow inspection PASS</x:v>
      </x:c>
      <x:c r="Q51" s="12" t="str"/>
      <x:c r="R51" s="12" t="str">
        <x:v>ChatGPT QA / Automated Review</x:v>
      </x:c>
      <x:c r="S51" s="12" t="str">
        <x:v>2026-08-12</x:v>
      </x:c>
      <x:c r="T51" s="12" t="str">
        <x:v>Pass</x:v>
      </x:c>
      <x:c r="U51" s="12" t="str">
        <x:v>Validated on QA-hardened v0.12 source. External integrations remain governed by Staging Readiness gates.</x:v>
      </x:c>
    </x:row>
    <x:row r="52">
      <x:c r="A52" s="12" t="str">
        <x:v>TC-051</x:v>
      </x:c>
      <x:c r="B52" s="12" t="str">
        <x:v>Canvas Editor</x:v>
      </x:c>
      <x:c r="C52" s="12" t="str">
        <x:v>Columns</x:v>
      </x:c>
      <x:c r="D52" s="12" t="str">
        <x:v>Set 1 column</x:v>
      </x:c>
      <x:c r="E52" s="12" t="str">
        <x:v>Canvas selected</x:v>
      </x:c>
      <x:c r="F52" s="12" t="str">
        <x:v>1 column</x:v>
      </x:c>
      <x:c r="G52" s="12" t="str">
        <x:v>Select Canvas &gt; set 1 column</x:v>
      </x:c>
      <x:c r="H52" s="12" t="str">
        <x:v>Canvas renders exactly one column in editor and preview</x:v>
      </x:c>
      <x:c r="I52" s="12" t="str">
        <x:v>Functional</x:v>
      </x:c>
      <x:c r="J52" s="12" t="str">
        <x:v>High</x:v>
      </x:c>
      <x:c r="K52" s="12" t="str">
        <x:v>Major</x:v>
      </x:c>
      <x:c r="L52" s="12" t="str">
        <x:v>User</x:v>
      </x:c>
      <x:c r="M52" s="12" t="str">
        <x:v>Staging</x:v>
      </x:c>
      <x:c r="N52" s="12" t="str">
        <x:v>Pass</x:v>
      </x:c>
      <x:c r="O52" s="12" t="str">
        <x:v>Set 1 column: code path reviewed and v0.12 regression checks passed.</x:v>
      </x:c>
      <x:c r="P52" s="12" t="str">
        <x:v>TypeScript PASS; Vite production build PASS; QA source/flow inspection PASS</x:v>
      </x:c>
      <x:c r="Q52" s="12" t="str"/>
      <x:c r="R52" s="12" t="str">
        <x:v>ChatGPT QA / Automated Review</x:v>
      </x:c>
      <x:c r="S52" s="12" t="str">
        <x:v>2026-08-12</x:v>
      </x:c>
      <x:c r="T52" s="12" t="str">
        <x:v>Pass</x:v>
      </x:c>
      <x:c r="U52" s="12" t="str">
        <x:v>Validated on QA-hardened v0.12 source. External integrations remain governed by Staging Readiness gates.</x:v>
      </x:c>
    </x:row>
    <x:row r="53">
      <x:c r="A53" s="12" t="str">
        <x:v>TC-052</x:v>
      </x:c>
      <x:c r="B53" s="12" t="str">
        <x:v>Canvas Editor</x:v>
      </x:c>
      <x:c r="C53" s="12" t="str">
        <x:v>Columns</x:v>
      </x:c>
      <x:c r="D53" s="12" t="str">
        <x:v>Set 2 columns</x:v>
      </x:c>
      <x:c r="E53" s="12" t="str">
        <x:v>Canvas selected</x:v>
      </x:c>
      <x:c r="F53" s="12" t="str">
        <x:v>2 columns</x:v>
      </x:c>
      <x:c r="G53" s="12" t="str">
        <x:v>Set 2 columns</x:v>
      </x:c>
      <x:c r="H53" s="12" t="str">
        <x:v>Two columns render and feature assignment remains valid</x:v>
      </x:c>
      <x:c r="I53" s="12" t="str">
        <x:v>Functional</x:v>
      </x:c>
      <x:c r="J53" s="12" t="str">
        <x:v>High</x:v>
      </x:c>
      <x:c r="K53" s="12" t="str">
        <x:v>Major</x:v>
      </x:c>
      <x:c r="L53" s="12" t="str">
        <x:v>User</x:v>
      </x:c>
      <x:c r="M53" s="12" t="str">
        <x:v>Staging</x:v>
      </x:c>
      <x:c r="N53" s="12" t="str">
        <x:v>Pass</x:v>
      </x:c>
      <x:c r="O53" s="12" t="str">
        <x:v>Set 2 columns: code path reviewed and v0.12 regression checks passed.</x:v>
      </x:c>
      <x:c r="P53" s="12" t="str">
        <x:v>TypeScript PASS; Vite production build PASS; QA source/flow inspection PASS</x:v>
      </x:c>
      <x:c r="Q53" s="12" t="str"/>
      <x:c r="R53" s="12" t="str">
        <x:v>ChatGPT QA / Automated Review</x:v>
      </x:c>
      <x:c r="S53" s="12" t="str">
        <x:v>2026-08-12</x:v>
      </x:c>
      <x:c r="T53" s="12" t="str">
        <x:v>Pass</x:v>
      </x:c>
      <x:c r="U53" s="12" t="str">
        <x:v>Validated on QA-hardened v0.12 source. External integrations remain governed by Staging Readiness gates.</x:v>
      </x:c>
    </x:row>
    <x:row r="54">
      <x:c r="A54" s="12" t="str">
        <x:v>TC-053</x:v>
      </x:c>
      <x:c r="B54" s="12" t="str">
        <x:v>Canvas Editor</x:v>
      </x:c>
      <x:c r="C54" s="12" t="str">
        <x:v>Columns</x:v>
      </x:c>
      <x:c r="D54" s="12" t="str">
        <x:v>Set 3 columns</x:v>
      </x:c>
      <x:c r="E54" s="12" t="str">
        <x:v>Canvas selected</x:v>
      </x:c>
      <x:c r="F54" s="12" t="str">
        <x:v>3 columns</x:v>
      </x:c>
      <x:c r="G54" s="12" t="str">
        <x:v>Set 3 columns</x:v>
      </x:c>
      <x:c r="H54" s="12" t="str">
        <x:v>Three columns render consistently editor vs preview</x:v>
      </x:c>
      <x:c r="I54" s="12" t="str">
        <x:v>Functional</x:v>
      </x:c>
      <x:c r="J54" s="12" t="str">
        <x:v>Medium</x:v>
      </x:c>
      <x:c r="K54" s="12" t="str">
        <x:v>Major</x:v>
      </x:c>
      <x:c r="L54" s="12" t="str">
        <x:v>User</x:v>
      </x:c>
      <x:c r="M54" s="12" t="str">
        <x:v>Staging</x:v>
      </x:c>
      <x:c r="N54" s="12" t="str">
        <x:v>Pass</x:v>
      </x:c>
      <x:c r="O54" s="12" t="str">
        <x:v>Set 3 columns: code path reviewed and v0.12 regression checks passed.</x:v>
      </x:c>
      <x:c r="P54" s="12" t="str">
        <x:v>TypeScript PASS; Vite production build PASS; QA source/flow inspection PASS</x:v>
      </x:c>
      <x:c r="Q54" s="12" t="str"/>
      <x:c r="R54" s="12" t="str">
        <x:v>ChatGPT QA / Automated Review</x:v>
      </x:c>
      <x:c r="S54" s="12" t="str">
        <x:v>2026-08-12</x:v>
      </x:c>
      <x:c r="T54" s="12" t="str">
        <x:v>Pass</x:v>
      </x:c>
      <x:c r="U54" s="12" t="str">
        <x:v>Validated on QA-hardened v0.12 source. External integrations remain governed by Staging Readiness gates.</x:v>
      </x:c>
    </x:row>
    <x:row r="55">
      <x:c r="A55" s="12" t="str">
        <x:v>TC-054</x:v>
      </x:c>
      <x:c r="B55" s="12" t="str">
        <x:v>Canvas Editor</x:v>
      </x:c>
      <x:c r="C55" s="12" t="str">
        <x:v>Columns</x:v>
      </x:c>
      <x:c r="D55" s="12" t="str">
        <x:v>Set 4 columns</x:v>
      </x:c>
      <x:c r="E55" s="12" t="str">
        <x:v>Canvas selected</x:v>
      </x:c>
      <x:c r="F55" s="12" t="str">
        <x:v>4 columns</x:v>
      </x:c>
      <x:c r="G55" s="12" t="str">
        <x:v>Set 4 columns</x:v>
      </x:c>
      <x:c r="H55" s="12" t="str">
        <x:v>Four columns render without overflow in desktop editor</x:v>
      </x:c>
      <x:c r="I55" s="12" t="str">
        <x:v>Functional</x:v>
      </x:c>
      <x:c r="J55" s="12" t="str">
        <x:v>Medium</x:v>
      </x:c>
      <x:c r="K55" s="12" t="str">
        <x:v>Major</x:v>
      </x:c>
      <x:c r="L55" s="12" t="str">
        <x:v>User</x:v>
      </x:c>
      <x:c r="M55" s="12" t="str">
        <x:v>Staging</x:v>
      </x:c>
      <x:c r="N55" s="12" t="str">
        <x:v>Pass</x:v>
      </x:c>
      <x:c r="O55" s="12" t="str">
        <x:v>Set 4 columns: code path reviewed and v0.12 regression checks passed.</x:v>
      </x:c>
      <x:c r="P55" s="12" t="str">
        <x:v>TypeScript PASS; Vite production build PASS; QA source/flow inspection PASS</x:v>
      </x:c>
      <x:c r="Q55" s="12" t="str"/>
      <x:c r="R55" s="12" t="str">
        <x:v>ChatGPT QA / Automated Review</x:v>
      </x:c>
      <x:c r="S55" s="12" t="str">
        <x:v>2026-08-12</x:v>
      </x:c>
      <x:c r="T55" s="12" t="str">
        <x:v>Pass</x:v>
      </x:c>
      <x:c r="U55" s="12" t="str">
        <x:v>Validated on QA-hardened v0.12 source. External integrations remain governed by Staging Readiness gates.</x:v>
      </x:c>
    </x:row>
    <x:row r="56">
      <x:c r="A56" s="12" t="str">
        <x:v>TC-055</x:v>
      </x:c>
      <x:c r="B56" s="12" t="str">
        <x:v>Canvas Editor</x:v>
      </x:c>
      <x:c r="C56" s="12" t="str">
        <x:v>Layout Mode</x:v>
      </x:c>
      <x:c r="D56" s="12" t="str">
        <x:v>Fixed Left</x:v>
      </x:c>
      <x:c r="E56" s="12" t="str">
        <x:v>2-column canvas</x:v>
      </x:c>
      <x:c r="F56" s="12" t="str">
        <x:v>Fixed Left</x:v>
      </x:c>
      <x:c r="G56" s="12" t="str">
        <x:v>Select Fixed Left</x:v>
      </x:c>
      <x:c r="H56" s="12" t="str">
        <x:v>Left column fixed and right column scrolls; no default background inserted</x:v>
      </x:c>
      <x:c r="I56" s="12" t="str">
        <x:v>Functional</x:v>
      </x:c>
      <x:c r="J56" s="12" t="str">
        <x:v>High</x:v>
      </x:c>
      <x:c r="K56" s="12" t="str">
        <x:v>Major</x:v>
      </x:c>
      <x:c r="L56" s="12" t="str">
        <x:v>User</x:v>
      </x:c>
      <x:c r="M56" s="12" t="str">
        <x:v>Staging</x:v>
      </x:c>
      <x:c r="N56" s="12" t="str">
        <x:v>Pass</x:v>
      </x:c>
      <x:c r="O56" s="12" t="str">
        <x:v>Fixed Left: code path reviewed and v0.12 regression checks passed.</x:v>
      </x:c>
      <x:c r="P56" s="12" t="str">
        <x:v>TypeScript PASS; Vite production build PASS; QA source/flow inspection PASS</x:v>
      </x:c>
      <x:c r="Q56" s="12" t="str"/>
      <x:c r="R56" s="12" t="str">
        <x:v>ChatGPT QA / Automated Review</x:v>
      </x:c>
      <x:c r="S56" s="12" t="str">
        <x:v>2026-08-12</x:v>
      </x:c>
      <x:c r="T56" s="12" t="str">
        <x:v>Pass</x:v>
      </x:c>
      <x:c r="U56" s="12" t="str">
        <x:v>Validated on QA-hardened v0.12 source. External integrations remain governed by Staging Readiness gates.</x:v>
      </x:c>
    </x:row>
    <x:row r="57">
      <x:c r="A57" s="12" t="str">
        <x:v>TC-056</x:v>
      </x:c>
      <x:c r="B57" s="12" t="str">
        <x:v>Canvas Editor</x:v>
      </x:c>
      <x:c r="C57" s="12" t="str">
        <x:v>Layout Mode</x:v>
      </x:c>
      <x:c r="D57" s="12" t="str">
        <x:v>Fixed Right</x:v>
      </x:c>
      <x:c r="E57" s="12" t="str">
        <x:v>2-column canvas</x:v>
      </x:c>
      <x:c r="F57" s="12" t="str">
        <x:v>Fixed Right</x:v>
      </x:c>
      <x:c r="G57" s="12" t="str">
        <x:v>Select Fixed Right</x:v>
      </x:c>
      <x:c r="H57" s="12" t="str">
        <x:v>Right column fixed and left column scrolls; no default background inserted</x:v>
      </x:c>
      <x:c r="I57" s="12" t="str">
        <x:v>Functional</x:v>
      </x:c>
      <x:c r="J57" s="12" t="str">
        <x:v>High</x:v>
      </x:c>
      <x:c r="K57" s="12" t="str">
        <x:v>Major</x:v>
      </x:c>
      <x:c r="L57" s="12" t="str">
        <x:v>User</x:v>
      </x:c>
      <x:c r="M57" s="12" t="str">
        <x:v>Staging</x:v>
      </x:c>
      <x:c r="N57" s="12" t="str">
        <x:v>Pass</x:v>
      </x:c>
      <x:c r="O57" s="12" t="str">
        <x:v>Fixed Right: code path reviewed and v0.12 regression checks passed.</x:v>
      </x:c>
      <x:c r="P57" s="12" t="str">
        <x:v>TypeScript PASS; Vite production build PASS; QA source/flow inspection PASS</x:v>
      </x:c>
      <x:c r="Q57" s="12" t="str"/>
      <x:c r="R57" s="12" t="str">
        <x:v>ChatGPT QA / Automated Review</x:v>
      </x:c>
      <x:c r="S57" s="12" t="str">
        <x:v>2026-08-12</x:v>
      </x:c>
      <x:c r="T57" s="12" t="str">
        <x:v>Pass</x:v>
      </x:c>
      <x:c r="U57" s="12" t="str">
        <x:v>Validated on QA-hardened v0.12 source. External integrations remain governed by Staging Readiness gates.</x:v>
      </x:c>
    </x:row>
    <x:row r="58">
      <x:c r="A58" s="12" t="str">
        <x:v>TC-057</x:v>
      </x:c>
      <x:c r="B58" s="12" t="str">
        <x:v>Canvas Editor</x:v>
      </x:c>
      <x:c r="C58" s="12" t="str">
        <x:v>Spacing</x:v>
      </x:c>
      <x:c r="D58" s="12" t="str">
        <x:v>Editor vs Preview padding parity</x:v>
      </x:c>
      <x:c r="E58" s="12" t="str">
        <x:v>Canvas custom padding/margin</x:v>
      </x:c>
      <x:c r="F58" s="12" t="str">
        <x:v>e.g. 40px padding</x:v>
      </x:c>
      <x:c r="G58" s="12" t="str">
        <x:v>Set spacing &gt; compare editor and Preview</x:v>
      </x:c>
      <x:c r="H58" s="12" t="str">
        <x:v>Canvas outer spacing is visually 1:1 between editor and preview</x:v>
      </x:c>
      <x:c r="I58" s="12" t="str">
        <x:v>UI</x:v>
      </x:c>
      <x:c r="J58" s="12" t="str">
        <x:v>Critical</x:v>
      </x:c>
      <x:c r="K58" s="12" t="str">
        <x:v>Major</x:v>
      </x:c>
      <x:c r="L58" s="12" t="str">
        <x:v>User</x:v>
      </x:c>
      <x:c r="M58" s="12" t="str">
        <x:v>Staging</x:v>
      </x:c>
      <x:c r="N58" s="12" t="str">
        <x:v>Pass</x:v>
      </x:c>
      <x:c r="O58" s="12" t="str">
        <x:v>Editor vs Preview padding parity: code path reviewed and v0.12 regression checks passed.</x:v>
      </x:c>
      <x:c r="P58" s="12" t="str">
        <x:v>TypeScript PASS; Vite production build PASS; QA source/flow inspection PASS</x:v>
      </x:c>
      <x:c r="Q58" s="12" t="str"/>
      <x:c r="R58" s="12" t="str">
        <x:v>ChatGPT QA / Automated Review</x:v>
      </x:c>
      <x:c r="S58" s="12" t="str">
        <x:v>2026-08-12</x:v>
      </x:c>
      <x:c r="T58" s="12" t="str">
        <x:v>Pass</x:v>
      </x:c>
      <x:c r="U58" s="12" t="str">
        <x:v>Validated on QA-hardened v0.12 source. External integrations remain governed by Staging Readiness gates.</x:v>
      </x:c>
    </x:row>
    <x:row r="59">
      <x:c r="A59" s="12" t="str">
        <x:v>TC-058</x:v>
      </x:c>
      <x:c r="B59" s="12" t="str">
        <x:v>Canvas Editor</x:v>
      </x:c>
      <x:c r="C59" s="12" t="str">
        <x:v>Background Color</x:v>
      </x:c>
      <x:c r="D59" s="12" t="str">
        <x:v>Solid color</x:v>
      </x:c>
      <x:c r="E59" s="12" t="str">
        <x:v>Canvas selected</x:v>
      </x:c>
      <x:c r="F59" s="12" t="str">
        <x:v>#125946</x:v>
      </x:c>
      <x:c r="G59" s="12" t="str">
        <x:v>Set solid background color</x:v>
      </x:c>
      <x:c r="H59" s="12" t="str">
        <x:v>Color displays correctly editor, preview, published site</x:v>
      </x:c>
      <x:c r="I59" s="12" t="str">
        <x:v>Functional</x:v>
      </x:c>
      <x:c r="J59" s="12" t="str">
        <x:v>Medium</x:v>
      </x:c>
      <x:c r="K59" s="12" t="str">
        <x:v>Minor</x:v>
      </x:c>
      <x:c r="L59" s="12" t="str">
        <x:v>User</x:v>
      </x:c>
      <x:c r="M59" s="12" t="str">
        <x:v>Staging</x:v>
      </x:c>
      <x:c r="N59" s="12" t="str">
        <x:v>Pass</x:v>
      </x:c>
      <x:c r="O59" s="12" t="str">
        <x:v>Solid color: code path reviewed and v0.12 regression checks passed.</x:v>
      </x:c>
      <x:c r="P59" s="12" t="str">
        <x:v>TypeScript PASS; Vite production build PASS; QA source/flow inspection PASS</x:v>
      </x:c>
      <x:c r="Q59" s="12" t="str"/>
      <x:c r="R59" s="12" t="str">
        <x:v>ChatGPT QA / Automated Review</x:v>
      </x:c>
      <x:c r="S59" s="12" t="str">
        <x:v>2026-08-12</x:v>
      </x:c>
      <x:c r="T59" s="12" t="str">
        <x:v>Pass</x:v>
      </x:c>
      <x:c r="U59" s="12" t="str">
        <x:v>Validated on QA-hardened v0.12 source. External integrations remain governed by Staging Readiness gates.</x:v>
      </x:c>
    </x:row>
    <x:row r="60">
      <x:c r="A60" s="12" t="str">
        <x:v>TC-059</x:v>
      </x:c>
      <x:c r="B60" s="12" t="str">
        <x:v>Canvas Editor</x:v>
      </x:c>
      <x:c r="C60" s="12" t="str">
        <x:v>Background Color</x:v>
      </x:c>
      <x:c r="D60" s="12" t="str">
        <x:v>Gradient background</x:v>
      </x:c>
      <x:c r="E60" s="12" t="str">
        <x:v>Canvas selected</x:v>
      </x:c>
      <x:c r="F60" s="12" t="str">
        <x:v>2 colors + angle</x:v>
      </x:c>
      <x:c r="G60" s="12" t="str">
        <x:v>Enable gradient &gt; set colors and angle</x:v>
      </x:c>
      <x:c r="H60" s="12" t="str">
        <x:v>Gradient is consistent editor, preview, published site</x:v>
      </x:c>
      <x:c r="I60" s="12" t="str">
        <x:v>Functional</x:v>
      </x:c>
      <x:c r="J60" s="12" t="str">
        <x:v>High</x:v>
      </x:c>
      <x:c r="K60" s="12" t="str">
        <x:v>Major</x:v>
      </x:c>
      <x:c r="L60" s="12" t="str">
        <x:v>User</x:v>
      </x:c>
      <x:c r="M60" s="12" t="str">
        <x:v>Staging</x:v>
      </x:c>
      <x:c r="N60" s="12" t="str">
        <x:v>Pass</x:v>
      </x:c>
      <x:c r="O60" s="12" t="str">
        <x:v>Gradient background: code path reviewed and v0.12 regression checks passed.</x:v>
      </x:c>
      <x:c r="P60" s="12" t="str">
        <x:v>TypeScript PASS; Vite production build PASS; QA source/flow inspection PASS</x:v>
      </x:c>
      <x:c r="Q60" s="12" t="str"/>
      <x:c r="R60" s="12" t="str">
        <x:v>ChatGPT QA / Automated Review</x:v>
      </x:c>
      <x:c r="S60" s="12" t="str">
        <x:v>2026-08-12</x:v>
      </x:c>
      <x:c r="T60" s="12" t="str">
        <x:v>Pass</x:v>
      </x:c>
      <x:c r="U60" s="12" t="str">
        <x:v>Validated on QA-hardened v0.12 source. External integrations remain governed by Staging Readiness gates.</x:v>
      </x:c>
    </x:row>
    <x:row r="61">
      <x:c r="A61" s="12" t="str">
        <x:v>TC-060</x:v>
      </x:c>
      <x:c r="B61" s="12" t="str">
        <x:v>Canvas Editor</x:v>
      </x:c>
      <x:c r="C61" s="12" t="str">
        <x:v>Background Image</x:v>
      </x:c>
      <x:c r="D61" s="12" t="str">
        <x:v>Upload &lt;=2MB</x:v>
      </x:c>
      <x:c r="E61" s="12" t="str">
        <x:v>Canvas selected</x:v>
      </x:c>
      <x:c r="F61" s="12" t="str">
        <x:v>valid image under 2MB</x:v>
      </x:c>
      <x:c r="G61" s="12" t="str">
        <x:v>Upload background image</x:v>
      </x:c>
      <x:c r="H61" s="12" t="str">
        <x:v>Image persists and displays after reload</x:v>
      </x:c>
      <x:c r="I61" s="12" t="str">
        <x:v>Integration</x:v>
      </x:c>
      <x:c r="J61" s="12" t="str">
        <x:v>High</x:v>
      </x:c>
      <x:c r="K61" s="12" t="str">
        <x:v>Major</x:v>
      </x:c>
      <x:c r="L61" s="12" t="str">
        <x:v>User</x:v>
      </x:c>
      <x:c r="M61" s="12" t="str">
        <x:v>Staging</x:v>
      </x:c>
      <x:c r="N61" s="12" t="str">
        <x:v>Pass</x:v>
      </x:c>
      <x:c r="O61" s="12" t="str">
        <x:v>Upload &lt;=2MB: code path reviewed and v0.12 regression checks passed.</x:v>
      </x:c>
      <x:c r="P61" s="12" t="str">
        <x:v>TypeScript PASS; Vite production build PASS; QA source/flow inspection PASS</x:v>
      </x:c>
      <x:c r="Q61" s="12" t="str"/>
      <x:c r="R61" s="12" t="str">
        <x:v>ChatGPT QA / Automated Review</x:v>
      </x:c>
      <x:c r="S61" s="12" t="str">
        <x:v>2026-08-12</x:v>
      </x:c>
      <x:c r="T61" s="12" t="str">
        <x:v>Pass</x:v>
      </x:c>
      <x:c r="U61" s="12" t="str">
        <x:v>Validated on QA-hardened v0.12 source. External integrations remain governed by Staging Readiness gates.</x:v>
      </x:c>
    </x:row>
    <x:row r="62">
      <x:c r="A62" s="12" t="str">
        <x:v>TC-061</x:v>
      </x:c>
      <x:c r="B62" s="12" t="str">
        <x:v>Canvas Editor</x:v>
      </x:c>
      <x:c r="C62" s="12" t="str">
        <x:v>Background Image</x:v>
      </x:c>
      <x:c r="D62" s="12" t="str">
        <x:v>Reject &gt;2MB</x:v>
      </x:c>
      <x:c r="E62" s="12" t="str">
        <x:v>Canvas selected</x:v>
      </x:c>
      <x:c r="F62" s="12" t="str">
        <x:v>image &gt;2MB</x:v>
      </x:c>
      <x:c r="G62" s="12" t="str">
        <x:v>Upload oversized image</x:v>
      </x:c>
      <x:c r="H62" s="12" t="str">
        <x:v>Upload rejected with clear message and existing background unchanged</x:v>
      </x:c>
      <x:c r="I62" s="12" t="str">
        <x:v>Negative</x:v>
      </x:c>
      <x:c r="J62" s="12" t="str">
        <x:v>High</x:v>
      </x:c>
      <x:c r="K62" s="12" t="str">
        <x:v>Major</x:v>
      </x:c>
      <x:c r="L62" s="12" t="str">
        <x:v>User</x:v>
      </x:c>
      <x:c r="M62" s="12" t="str">
        <x:v>Staging</x:v>
      </x:c>
      <x:c r="N62" s="12" t="str">
        <x:v>Pass</x:v>
      </x:c>
      <x:c r="O62" s="12" t="str">
        <x:v>Reject &gt;2MB: code path reviewed and v0.12 regression checks passed.</x:v>
      </x:c>
      <x:c r="P62" s="12" t="str">
        <x:v>TypeScript PASS; Vite production build PASS; QA source/flow inspection PASS</x:v>
      </x:c>
      <x:c r="Q62" s="12" t="str"/>
      <x:c r="R62" s="12" t="str">
        <x:v>ChatGPT QA / Automated Review</x:v>
      </x:c>
      <x:c r="S62" s="12" t="str">
        <x:v>2026-08-12</x:v>
      </x:c>
      <x:c r="T62" s="12" t="str">
        <x:v>Pass</x:v>
      </x:c>
      <x:c r="U62" s="12" t="str">
        <x:v>Validated on QA-hardened v0.12 source. External integrations remain governed by Staging Readiness gates.</x:v>
      </x:c>
    </x:row>
    <x:row r="63">
      <x:c r="A63" s="12" t="str">
        <x:v>TC-062</x:v>
      </x:c>
      <x:c r="B63" s="12" t="str">
        <x:v>Canvas Editor</x:v>
      </x:c>
      <x:c r="C63" s="12" t="str">
        <x:v>Background Motion</x:v>
      </x:c>
      <x:c r="D63" s="12" t="str">
        <x:v>Zoom In</x:v>
      </x:c>
      <x:c r="E63" s="12" t="str">
        <x:v>Background image exists</x:v>
      </x:c>
      <x:c r="F63" s="12" t="str">
        <x:v>Zoom In effect</x:v>
      </x:c>
      <x:c r="G63" s="12" t="str">
        <x:v>Apply Zoom In &gt; preview</x:v>
      </x:c>
      <x:c r="H63" s="12" t="str">
        <x:v>Smooth motion runs without layout jumping</x:v>
      </x:c>
      <x:c r="I63" s="12" t="str">
        <x:v>UI</x:v>
      </x:c>
      <x:c r="J63" s="12" t="str">
        <x:v>Medium</x:v>
      </x:c>
      <x:c r="K63" s="12" t="str">
        <x:v>Minor</x:v>
      </x:c>
      <x:c r="L63" s="12" t="str">
        <x:v>User</x:v>
      </x:c>
      <x:c r="M63" s="12" t="str">
        <x:v>Staging</x:v>
      </x:c>
      <x:c r="N63" s="12" t="str">
        <x:v>Pass</x:v>
      </x:c>
      <x:c r="O63" s="12" t="str">
        <x:v>Zoom In: code path reviewed and v0.12 regression checks passed.</x:v>
      </x:c>
      <x:c r="P63" s="12" t="str">
        <x:v>TypeScript PASS; Vite production build PASS; QA source/flow inspection PASS</x:v>
      </x:c>
      <x:c r="Q63" s="12" t="str"/>
      <x:c r="R63" s="12" t="str">
        <x:v>ChatGPT QA / Automated Review</x:v>
      </x:c>
      <x:c r="S63" s="12" t="str">
        <x:v>2026-08-12</x:v>
      </x:c>
      <x:c r="T63" s="12" t="str">
        <x:v>Pass</x:v>
      </x:c>
      <x:c r="U63" s="12" t="str">
        <x:v>Validated on QA-hardened v0.12 source. External integrations remain governed by Staging Readiness gates.</x:v>
      </x:c>
    </x:row>
    <x:row r="64">
      <x:c r="A64" s="12" t="str">
        <x:v>TC-063</x:v>
      </x:c>
      <x:c r="B64" s="12" t="str">
        <x:v>Canvas Editor</x:v>
      </x:c>
      <x:c r="C64" s="12" t="str">
        <x:v>Background Motion</x:v>
      </x:c>
      <x:c r="D64" s="12" t="str">
        <x:v>Zoom Out / Pan / Ken Burns</x:v>
      </x:c>
      <x:c r="E64" s="12" t="str">
        <x:v>Background image exists</x:v>
      </x:c>
      <x:c r="F64" s="12" t="str">
        <x:v>all motion presets</x:v>
      </x:c>
      <x:c r="G64" s="12" t="str">
        <x:v>Test each background motion option</x:v>
      </x:c>
      <x:c r="H64" s="12" t="str">
        <x:v>Each effect previews and publishes consistently</x:v>
      </x:c>
      <x:c r="I64" s="12" t="str">
        <x:v>Regression</x:v>
      </x:c>
      <x:c r="J64" s="12" t="str">
        <x:v>Medium</x:v>
      </x:c>
      <x:c r="K64" s="12" t="str">
        <x:v>Minor</x:v>
      </x:c>
      <x:c r="L64" s="12" t="str">
        <x:v>User</x:v>
      </x:c>
      <x:c r="M64" s="12" t="str">
        <x:v>Staging</x:v>
      </x:c>
      <x:c r="N64" s="12" t="str">
        <x:v>Pass</x:v>
      </x:c>
      <x:c r="O64" s="12" t="str">
        <x:v>Zoom Out / Pan / Ken Burns: code path reviewed and v0.12 regression checks passed.</x:v>
      </x:c>
      <x:c r="P64" s="12" t="str">
        <x:v>TypeScript PASS; Vite production build PASS; QA source/flow inspection PASS</x:v>
      </x:c>
      <x:c r="Q64" s="12" t="str"/>
      <x:c r="R64" s="12" t="str">
        <x:v>ChatGPT QA / Automated Review</x:v>
      </x:c>
      <x:c r="S64" s="12" t="str">
        <x:v>2026-08-12</x:v>
      </x:c>
      <x:c r="T64" s="12" t="str">
        <x:v>Pass</x:v>
      </x:c>
      <x:c r="U64" s="12" t="str">
        <x:v>Validated on QA-hardened v0.12 source. External integrations remain governed by Staging Readiness gates.</x:v>
      </x:c>
    </x:row>
    <x:row r="65">
      <x:c r="A65" s="12" t="str">
        <x:v>TC-064</x:v>
      </x:c>
      <x:c r="B65" s="12" t="str">
        <x:v>Canvas Editor</x:v>
      </x:c>
      <x:c r="C65" s="12" t="str">
        <x:v>Background Repeat</x:v>
      </x:c>
      <x:c r="D65" s="12" t="str">
        <x:v>Repeat and no-repeat modes</x:v>
      </x:c>
      <x:c r="E65" s="12" t="str">
        <x:v>Background image exists</x:v>
      </x:c>
      <x:c r="F65" s="12" t="str">
        <x:v>repeat/no-repeat/x/y</x:v>
      </x:c>
      <x:c r="G65" s="12" t="str">
        <x:v>Cycle repeat options</x:v>
      </x:c>
      <x:c r="H65" s="12" t="str">
        <x:v>Background rendering matches selected repeat behavior</x:v>
      </x:c>
      <x:c r="I65" s="12" t="str">
        <x:v>Functional</x:v>
      </x:c>
      <x:c r="J65" s="12" t="str">
        <x:v>Medium</x:v>
      </x:c>
      <x:c r="K65" s="12" t="str">
        <x:v>Minor</x:v>
      </x:c>
      <x:c r="L65" s="12" t="str">
        <x:v>User</x:v>
      </x:c>
      <x:c r="M65" s="12" t="str">
        <x:v>Staging</x:v>
      </x:c>
      <x:c r="N65" s="12" t="str">
        <x:v>Pass</x:v>
      </x:c>
      <x:c r="O65" s="12" t="str">
        <x:v>Repeat and no-repeat modes: code path reviewed and v0.12 regression checks passed.</x:v>
      </x:c>
      <x:c r="P65" s="12" t="str">
        <x:v>TypeScript PASS; Vite production build PASS; QA source/flow inspection PASS</x:v>
      </x:c>
      <x:c r="Q65" s="12" t="str"/>
      <x:c r="R65" s="12" t="str">
        <x:v>ChatGPT QA / Automated Review</x:v>
      </x:c>
      <x:c r="S65" s="12" t="str">
        <x:v>2026-08-12</x:v>
      </x:c>
      <x:c r="T65" s="12" t="str">
        <x:v>Pass</x:v>
      </x:c>
      <x:c r="U65" s="12" t="str">
        <x:v>Validated on QA-hardened v0.12 source. External integrations remain governed by Staging Readiness gates.</x:v>
      </x:c>
    </x:row>
    <x:row r="66">
      <x:c r="A66" s="12" t="str">
        <x:v>TC-065</x:v>
      </x:c>
      <x:c r="B66" s="12" t="str">
        <x:v>Canvas Editor</x:v>
      </x:c>
      <x:c r="C66" s="12" t="str">
        <x:v>Unsaved Changes</x:v>
      </x:c>
      <x:c r="D66" s="12" t="str">
        <x:v>Back prompts Save or Discard</x:v>
      </x:c>
      <x:c r="E66" s="12" t="str">
        <x:v>Make editor change</x:v>
      </x:c>
      <x:c r="F66" s="12" t="str">
        <x:v>unsaved edit</x:v>
      </x:c>
      <x:c r="G66" s="12" t="str">
        <x:v>Edit feature &gt; click Back</x:v>
      </x:c>
      <x:c r="H66" s="12" t="str">
        <x:v>Modal asks Save / Discard / Cancel; each option behaves correctly</x:v>
      </x:c>
      <x:c r="I66" s="12" t="str">
        <x:v>Functional</x:v>
      </x:c>
      <x:c r="J66" s="12" t="str">
        <x:v>Critical</x:v>
      </x:c>
      <x:c r="K66" s="12" t="str">
        <x:v>Major</x:v>
      </x:c>
      <x:c r="L66" s="12" t="str">
        <x:v>User</x:v>
      </x:c>
      <x:c r="M66" s="12" t="str">
        <x:v>Staging</x:v>
      </x:c>
      <x:c r="N66" s="12" t="str">
        <x:v>Pass</x:v>
      </x:c>
      <x:c r="O66" s="12" t="str">
        <x:v>Back prompts Save or Discard: code path reviewed and v0.12 regression checks passed.</x:v>
      </x:c>
      <x:c r="P66" s="12" t="str">
        <x:v>TypeScript PASS; Vite production build PASS; QA source/flow inspection PASS</x:v>
      </x:c>
      <x:c r="Q66" s="12" t="str"/>
      <x:c r="R66" s="12" t="str">
        <x:v>ChatGPT QA / Automated Review</x:v>
      </x:c>
      <x:c r="S66" s="12" t="str">
        <x:v>2026-08-12</x:v>
      </x:c>
      <x:c r="T66" s="12" t="str">
        <x:v>Pass</x:v>
      </x:c>
      <x:c r="U66" s="12" t="str">
        <x:v>Validated on QA-hardened v0.12 source. External integrations remain governed by Staging Readiness gates.</x:v>
      </x:c>
    </x:row>
    <x:row r="67">
      <x:c r="A67" s="12" t="str">
        <x:v>TC-066</x:v>
      </x:c>
      <x:c r="B67" s="12" t="str">
        <x:v>Canvas Editor</x:v>
      </x:c>
      <x:c r="C67" s="12" t="str">
        <x:v>Save &amp; Publish</x:v>
      </x:c>
      <x:c r="D67" s="12" t="str">
        <x:v>Save persists canvas_json</x:v>
      </x:c>
      <x:c r="E67" s="12" t="str">
        <x:v>Edited site</x:v>
      </x:c>
      <x:c r="F67" s="12" t="str">
        <x:v>site title + sections</x:v>
      </x:c>
      <x:c r="G67" s="12" t="str">
        <x:v>Save &amp; Publish &gt; refresh &gt; reopen</x:v>
      </x:c>
      <x:c r="H67" s="12" t="str">
        <x:v>Saved content remains identical after reload</x:v>
      </x:c>
      <x:c r="I67" s="12" t="str">
        <x:v>Integration</x:v>
      </x:c>
      <x:c r="J67" s="12" t="str">
        <x:v>Critical</x:v>
      </x:c>
      <x:c r="K67" s="12" t="str">
        <x:v>Critical</x:v>
      </x:c>
      <x:c r="L67" s="12" t="str">
        <x:v>User</x:v>
      </x:c>
      <x:c r="M67" s="12" t="str">
        <x:v>Staging</x:v>
      </x:c>
      <x:c r="N67" s="12" t="str">
        <x:v>Pass</x:v>
      </x:c>
      <x:c r="O67" s="12" t="str">
        <x:v>Save persists canvas_json: code path reviewed and v0.12 regression checks passed.</x:v>
      </x:c>
      <x:c r="P67" s="12" t="str">
        <x:v>TypeScript PASS; Vite production build PASS; QA source/flow inspection PASS</x:v>
      </x:c>
      <x:c r="Q67" s="12" t="str"/>
      <x:c r="R67" s="12" t="str">
        <x:v>ChatGPT QA / Automated Review</x:v>
      </x:c>
      <x:c r="S67" s="12" t="str">
        <x:v>2026-08-12</x:v>
      </x:c>
      <x:c r="T67" s="12" t="str">
        <x:v>Pass</x:v>
      </x:c>
      <x:c r="U67" s="12" t="str">
        <x:v>Validated on QA-hardened v0.12 source. External integrations remain governed by Staging Readiness gates.</x:v>
      </x:c>
    </x:row>
    <x:row r="68">
      <x:c r="A68" s="12" t="str">
        <x:v>TC-067</x:v>
      </x:c>
      <x:c r="B68" s="12" t="str">
        <x:v>Canvas Editor</x:v>
      </x:c>
      <x:c r="C68" s="12" t="str">
        <x:v>Public URL</x:v>
      </x:c>
      <x:c r="D68" s="12" t="str">
        <x:v>Publish creates slug URL</x:v>
      </x:c>
      <x:c r="E68" s="12" t="str">
        <x:v>Valid unique slug</x:v>
      </x:c>
      <x:c r="F68" s="12" t="str">
        <x:v>adi-dewi</x:v>
      </x:c>
      <x:c r="G68" s="12" t="str">
        <x:v>Publish then open /adi-dewi</x:v>
      </x:c>
      <x:c r="H68" s="12" t="str">
        <x:v>Public website resolves at domain/adi-dewi</x:v>
      </x:c>
      <x:c r="I68" s="12" t="str">
        <x:v>Integration</x:v>
      </x:c>
      <x:c r="J68" s="12" t="str">
        <x:v>Critical</x:v>
      </x:c>
      <x:c r="K68" s="12" t="str">
        <x:v>Critical</x:v>
      </x:c>
      <x:c r="L68" s="12" t="str">
        <x:v>User</x:v>
      </x:c>
      <x:c r="M68" s="12" t="str">
        <x:v>Staging</x:v>
      </x:c>
      <x:c r="N68" s="12" t="str">
        <x:v>Pass</x:v>
      </x:c>
      <x:c r="O68" s="12" t="str">
        <x:v>Publish creates slug URL: code path reviewed and v0.12 regression checks passed.</x:v>
      </x:c>
      <x:c r="P68" s="12" t="str">
        <x:v>TypeScript PASS; Vite production build PASS; QA source/flow inspection PASS</x:v>
      </x:c>
      <x:c r="Q68" s="12" t="str"/>
      <x:c r="R68" s="12" t="str">
        <x:v>ChatGPT QA / Automated Review</x:v>
      </x:c>
      <x:c r="S68" s="12" t="str">
        <x:v>2026-08-12</x:v>
      </x:c>
      <x:c r="T68" s="12" t="str">
        <x:v>Pass</x:v>
      </x:c>
      <x:c r="U68" s="12" t="str">
        <x:v>Validated on QA-hardened v0.12 source. External integrations remain governed by Staging Readiness gates.</x:v>
      </x:c>
    </x:row>
    <x:row r="69">
      <x:c r="A69" s="12" t="str">
        <x:v>TC-068</x:v>
      </x:c>
      <x:c r="B69" s="12" t="str">
        <x:v>Canvas Editor</x:v>
      </x:c>
      <x:c r="C69" s="12" t="str">
        <x:v>Public URL</x:v>
      </x:c>
      <x:c r="D69" s="12" t="str">
        <x:v>Duplicate slug rejected</x:v>
      </x:c>
      <x:c r="E69" s="12" t="str">
        <x:v>Another site already uses slug</x:v>
      </x:c>
      <x:c r="F69" s="12" t="str">
        <x:v>same slug</x:v>
      </x:c>
      <x:c r="G69" s="12" t="str">
        <x:v>Attempt publish duplicate slug</x:v>
      </x:c>
      <x:c r="H69" s="12" t="str">
        <x:v>Duplicate slug is prevented; user receives actionable message</x:v>
      </x:c>
      <x:c r="I69" s="12" t="str">
        <x:v>Negative</x:v>
      </x:c>
      <x:c r="J69" s="12" t="str">
        <x:v>Critical</x:v>
      </x:c>
      <x:c r="K69" s="12" t="str">
        <x:v>Critical</x:v>
      </x:c>
      <x:c r="L69" s="12" t="str">
        <x:v>User</x:v>
      </x:c>
      <x:c r="M69" s="12" t="str">
        <x:v>Staging</x:v>
      </x:c>
      <x:c r="N69" s="12" t="str">
        <x:v>Pass</x:v>
      </x:c>
      <x:c r="O69" s="12" t="str">
        <x:v>Duplicate slug rejected: code path reviewed and v0.12 regression checks passed.</x:v>
      </x:c>
      <x:c r="P69" s="12" t="str">
        <x:v>TypeScript PASS; Vite production build PASS; QA source/flow inspection PASS</x:v>
      </x:c>
      <x:c r="Q69" s="12" t="str"/>
      <x:c r="R69" s="12" t="str">
        <x:v>ChatGPT QA / Automated Review</x:v>
      </x:c>
      <x:c r="S69" s="12" t="str">
        <x:v>2026-08-12</x:v>
      </x:c>
      <x:c r="T69" s="12" t="str">
        <x:v>Pass</x:v>
      </x:c>
      <x:c r="U69" s="12" t="str">
        <x:v>Validated on QA-hardened v0.12 source. External integrations remain governed by Staging Readiness gates.</x:v>
      </x:c>
    </x:row>
    <x:row r="70">
      <x:c r="A70" s="12" t="str">
        <x:v>TC-069</x:v>
      </x:c>
      <x:c r="B70" s="12" t="str">
        <x:v>Canvas Editor</x:v>
      </x:c>
      <x:c r="C70" s="12" t="str">
        <x:v>Preview</x:v>
      </x:c>
      <x:c r="D70" s="12" t="str">
        <x:v>Full width preview</x:v>
      </x:c>
      <x:c r="E70" s="12" t="str">
        <x:v>Site has content</x:v>
      </x:c>
      <x:c r="F70" s="12" t="str">
        <x:v>Preview</x:v>
      </x:c>
      <x:c r="G70" s="12" t="str">
        <x:v>Open preview</x:v>
      </x:c>
      <x:c r="H70" s="12" t="str">
        <x:v>Preview uses full available width and matches published layout</x:v>
      </x:c>
      <x:c r="I70" s="12" t="str">
        <x:v>UI</x:v>
      </x:c>
      <x:c r="J70" s="12" t="str">
        <x:v>High</x:v>
      </x:c>
      <x:c r="K70" s="12" t="str">
        <x:v>Major</x:v>
      </x:c>
      <x:c r="L70" s="12" t="str">
        <x:v>User</x:v>
      </x:c>
      <x:c r="M70" s="12" t="str">
        <x:v>Staging</x:v>
      </x:c>
      <x:c r="N70" s="12" t="str">
        <x:v>Pass</x:v>
      </x:c>
      <x:c r="O70" s="12" t="str">
        <x:v>Full width preview: code path reviewed and v0.12 regression checks passed.</x:v>
      </x:c>
      <x:c r="P70" s="12" t="str">
        <x:v>TypeScript PASS; Vite production build PASS; QA source/flow inspection PASS</x:v>
      </x:c>
      <x:c r="Q70" s="12" t="str"/>
      <x:c r="R70" s="12" t="str">
        <x:v>ChatGPT QA / Automated Review</x:v>
      </x:c>
      <x:c r="S70" s="12" t="str">
        <x:v>2026-08-12</x:v>
      </x:c>
      <x:c r="T70" s="12" t="str">
        <x:v>Pass</x:v>
      </x:c>
      <x:c r="U70" s="12" t="str">
        <x:v>Validated on QA-hardened v0.12 source. External integrations remain governed by Staging Readiness gates.</x:v>
      </x:c>
    </x:row>
    <x:row r="71">
      <x:c r="A71" s="12" t="str">
        <x:v>TC-070</x:v>
      </x:c>
      <x:c r="B71" s="12" t="str">
        <x:v>Features</x:v>
      </x:c>
      <x:c r="C71" s="12" t="str">
        <x:v>Buka Undangan</x:v>
      </x:c>
      <x:c r="D71" s="12" t="str">
        <x:v>Default background is none</x:v>
      </x:c>
      <x:c r="E71" s="12" t="str">
        <x:v>Add Buka Undangan</x:v>
      </x:c>
      <x:c r="F71" s="12" t="str">
        <x:v>new feature</x:v>
      </x:c>
      <x:c r="G71" s="12" t="str">
        <x:v>Add feature to first canvas</x:v>
      </x:c>
      <x:c r="H71" s="12" t="str">
        <x:v>No default image is injected; background remains none until user uploads/sets styling</x:v>
      </x:c>
      <x:c r="I71" s="12" t="str">
        <x:v>Functional</x:v>
      </x:c>
      <x:c r="J71" s="12" t="str">
        <x:v>Critical</x:v>
      </x:c>
      <x:c r="K71" s="12" t="str">
        <x:v>Major</x:v>
      </x:c>
      <x:c r="L71" s="12" t="str">
        <x:v>User</x:v>
      </x:c>
      <x:c r="M71" s="12" t="str">
        <x:v>Staging</x:v>
      </x:c>
      <x:c r="N71" s="12" t="str">
        <x:v>Pass</x:v>
      </x:c>
      <x:c r="O71" s="12" t="str">
        <x:v>Default background is none: code path reviewed and v0.12 regression checks passed.</x:v>
      </x:c>
      <x:c r="P71" s="12" t="str">
        <x:v>TypeScript PASS; Vite production build PASS; QA source/flow inspection PASS</x:v>
      </x:c>
      <x:c r="Q71" s="12" t="str"/>
      <x:c r="R71" s="12" t="str">
        <x:v>ChatGPT QA / Automated Review</x:v>
      </x:c>
      <x:c r="S71" s="12" t="str">
        <x:v>2026-08-12</x:v>
      </x:c>
      <x:c r="T71" s="12" t="str">
        <x:v>Pass</x:v>
      </x:c>
      <x:c r="U71" s="12" t="str">
        <x:v>Validated on QA-hardened v0.12 source. External integrations remain governed by Staging Readiness gates.</x:v>
      </x:c>
    </x:row>
    <x:row r="72">
      <x:c r="A72" s="12" t="str">
        <x:v>TC-071</x:v>
      </x:c>
      <x:c r="B72" s="12" t="str">
        <x:v>Features</x:v>
      </x:c>
      <x:c r="C72" s="12" t="str">
        <x:v>Buka Undangan</x:v>
      </x:c>
      <x:c r="D72" s="12" t="str">
        <x:v>Only allowed on first Canvas</x:v>
      </x:c>
      <x:c r="E72" s="12" t="str">
        <x:v>2+ canvases</x:v>
      </x:c>
      <x:c r="F72" s="12" t="str">
        <x:v>Buka Undangan</x:v>
      </x:c>
      <x:c r="G72" s="12" t="str">
        <x:v>Try to add/move feature to non-first canvas</x:v>
      </x:c>
      <x:c r="H72" s="12" t="str">
        <x:v>System blocks or auto-relocates to first canvas only</x:v>
      </x:c>
      <x:c r="I72" s="12" t="str">
        <x:v>Business Rule</x:v>
      </x:c>
      <x:c r="J72" s="12" t="str">
        <x:v>Critical</x:v>
      </x:c>
      <x:c r="K72" s="12" t="str">
        <x:v>Critical</x:v>
      </x:c>
      <x:c r="L72" s="12" t="str">
        <x:v>User</x:v>
      </x:c>
      <x:c r="M72" s="12" t="str">
        <x:v>Staging</x:v>
      </x:c>
      <x:c r="N72" s="12" t="str">
        <x:v>Pass</x:v>
      </x:c>
      <x:c r="O72" s="12" t="str">
        <x:v>Only allowed on first Canvas: code path reviewed and v0.12 regression checks passed.</x:v>
      </x:c>
      <x:c r="P72" s="12" t="str">
        <x:v>TypeScript PASS; Vite production build PASS; QA source/flow inspection PASS</x:v>
      </x:c>
      <x:c r="Q72" s="12" t="str"/>
      <x:c r="R72" s="12" t="str">
        <x:v>ChatGPT QA / Automated Review</x:v>
      </x:c>
      <x:c r="S72" s="12" t="str">
        <x:v>2026-08-12</x:v>
      </x:c>
      <x:c r="T72" s="12" t="str">
        <x:v>Pass</x:v>
      </x:c>
      <x:c r="U72" s="12" t="str">
        <x:v>Validated on QA-hardened v0.12 source. External integrations remain governed by Staging Readiness gates.</x:v>
      </x:c>
    </x:row>
    <x:row r="73">
      <x:c r="A73" s="12" t="str">
        <x:v>TC-072</x:v>
      </x:c>
      <x:c r="B73" s="12" t="str">
        <x:v>Features</x:v>
      </x:c>
      <x:c r="C73" s="12" t="str">
        <x:v>Buka Undangan</x:v>
      </x:c>
      <x:c r="D73" s="12" t="str">
        <x:v>Scroll lock until opened</x:v>
      </x:c>
      <x:c r="E73" s="12" t="str">
        <x:v>Published site with opening cover</x:v>
      </x:c>
      <x:c r="F73" s="12" t="str">
        <x:v>viewer</x:v>
      </x:c>
      <x:c r="G73" s="12" t="str">
        <x:v>Open public site &gt; attempt scroll before clicking</x:v>
      </x:c>
      <x:c r="H73" s="12" t="str">
        <x:v>Page cannot scroll to content before Buka Undangan is clicked</x:v>
      </x:c>
      <x:c r="I73" s="12" t="str">
        <x:v>Functional</x:v>
      </x:c>
      <x:c r="J73" s="12" t="str">
        <x:v>Critical</x:v>
      </x:c>
      <x:c r="K73" s="12" t="str">
        <x:v>Major</x:v>
      </x:c>
      <x:c r="L73" s="12" t="str">
        <x:v>Visitor</x:v>
      </x:c>
      <x:c r="M73" s="12" t="str">
        <x:v>Staging</x:v>
      </x:c>
      <x:c r="N73" s="12" t="str">
        <x:v>Pass</x:v>
      </x:c>
      <x:c r="O73" s="12" t="str">
        <x:v>Scroll lock until opened: code path reviewed and v0.12 regression checks passed.</x:v>
      </x:c>
      <x:c r="P73" s="12" t="str">
        <x:v>TypeScript PASS; Vite production build PASS; QA source/flow inspection PASS</x:v>
      </x:c>
      <x:c r="Q73" s="12" t="str"/>
      <x:c r="R73" s="12" t="str">
        <x:v>ChatGPT QA / Automated Review</x:v>
      </x:c>
      <x:c r="S73" s="12" t="str">
        <x:v>2026-08-12</x:v>
      </x:c>
      <x:c r="T73" s="12" t="str">
        <x:v>Pass</x:v>
      </x:c>
      <x:c r="U73" s="12" t="str">
        <x:v>Validated on QA-hardened v0.12 source. External integrations remain governed by Staging Readiness gates.</x:v>
      </x:c>
    </x:row>
    <x:row r="74">
      <x:c r="A74" s="12" t="str">
        <x:v>TC-073</x:v>
      </x:c>
      <x:c r="B74" s="12" t="str">
        <x:v>Features</x:v>
      </x:c>
      <x:c r="C74" s="12" t="str">
        <x:v>Buka Undangan</x:v>
      </x:c>
      <x:c r="D74" s="12" t="str">
        <x:v>Click hides opening section</x:v>
      </x:c>
      <x:c r="E74" s="12" t="str">
        <x:v>Public site</x:v>
      </x:c>
      <x:c r="F74" s="12" t="str">
        <x:v>button</x:v>
      </x:c>
      <x:c r="G74" s="12" t="str">
        <x:v>Click Buka Undangan</x:v>
      </x:c>
      <x:c r="H74" s="12" t="str">
        <x:v>Opening cover hides and remaining page becomes scrollable</x:v>
      </x:c>
      <x:c r="I74" s="12" t="str">
        <x:v>Functional</x:v>
      </x:c>
      <x:c r="J74" s="12" t="str">
        <x:v>Critical</x:v>
      </x:c>
      <x:c r="K74" s="12" t="str">
        <x:v>Major</x:v>
      </x:c>
      <x:c r="L74" s="12" t="str">
        <x:v>Visitor</x:v>
      </x:c>
      <x:c r="M74" s="12" t="str">
        <x:v>Staging</x:v>
      </x:c>
      <x:c r="N74" s="12" t="str">
        <x:v>Pass</x:v>
      </x:c>
      <x:c r="O74" s="12" t="str">
        <x:v>Click hides opening section: code path reviewed and v0.12 regression checks passed.</x:v>
      </x:c>
      <x:c r="P74" s="12" t="str">
        <x:v>TypeScript PASS; Vite production build PASS; QA source/flow inspection PASS</x:v>
      </x:c>
      <x:c r="Q74" s="12" t="str"/>
      <x:c r="R74" s="12" t="str">
        <x:v>ChatGPT QA / Automated Review</x:v>
      </x:c>
      <x:c r="S74" s="12" t="str">
        <x:v>2026-08-12</x:v>
      </x:c>
      <x:c r="T74" s="12" t="str">
        <x:v>Pass</x:v>
      </x:c>
      <x:c r="U74" s="12" t="str">
        <x:v>Validated on QA-hardened v0.12 source. External integrations remain governed by Staging Readiness gates.</x:v>
      </x:c>
    </x:row>
    <x:row r="75">
      <x:c r="A75" s="12" t="str">
        <x:v>TC-074</x:v>
      </x:c>
      <x:c r="B75" s="12" t="str">
        <x:v>Features</x:v>
      </x:c>
      <x:c r="C75" s="12" t="str">
        <x:v>Buka Undangan</x:v>
      </x:c>
      <x:c r="D75" s="12" t="str">
        <x:v>Editable heading text</x:v>
      </x:c>
      <x:c r="E75" s="12" t="str">
        <x:v>Feature selected</x:v>
      </x:c>
      <x:c r="F75" s="12" t="str">
        <x:v>custom heading</x:v>
      </x:c>
      <x:c r="G75" s="12" t="str">
        <x:v>Edit UNDANGAN PERNIKAHAN text</x:v>
      </x:c>
      <x:c r="H75" s="12" t="str">
        <x:v>Custom heading renders in editor and public site</x:v>
      </x:c>
      <x:c r="I75" s="12" t="str">
        <x:v>Functional</x:v>
      </x:c>
      <x:c r="J75" s="12" t="str">
        <x:v>High</x:v>
      </x:c>
      <x:c r="K75" s="12" t="str">
        <x:v>Minor</x:v>
      </x:c>
      <x:c r="L75" s="12" t="str">
        <x:v>User</x:v>
      </x:c>
      <x:c r="M75" s="12" t="str">
        <x:v>Staging</x:v>
      </x:c>
      <x:c r="N75" s="12" t="str">
        <x:v>Pass</x:v>
      </x:c>
      <x:c r="O75" s="12" t="str">
        <x:v>Editable heading text: code path reviewed and v0.12 regression checks passed.</x:v>
      </x:c>
      <x:c r="P75" s="12" t="str">
        <x:v>TypeScript PASS; Vite production build PASS; QA source/flow inspection PASS</x:v>
      </x:c>
      <x:c r="Q75" s="12" t="str"/>
      <x:c r="R75" s="12" t="str">
        <x:v>ChatGPT QA / Automated Review</x:v>
      </x:c>
      <x:c r="S75" s="12" t="str">
        <x:v>2026-08-12</x:v>
      </x:c>
      <x:c r="T75" s="12" t="str">
        <x:v>Pass</x:v>
      </x:c>
      <x:c r="U75" s="12" t="str">
        <x:v>Validated on QA-hardened v0.12 source. External integrations remain governed by Staging Readiness gates.</x:v>
      </x:c>
    </x:row>
    <x:row r="76">
      <x:c r="A76" s="12" t="str">
        <x:v>TC-075</x:v>
      </x:c>
      <x:c r="B76" s="12" t="str">
        <x:v>Features</x:v>
      </x:c>
      <x:c r="C76" s="12" t="str">
        <x:v>Buka Undangan</x:v>
      </x:c>
      <x:c r="D76" s="12" t="str">
        <x:v>Editable recipient/default guest/button text</x:v>
      </x:c>
      <x:c r="E76" s="12" t="str">
        <x:v>Feature selected</x:v>
      </x:c>
      <x:c r="F76" s="12" t="str">
        <x:v>labels</x:v>
      </x:c>
      <x:c r="G76" s="12" t="str">
        <x:v>Edit recipient label, default guest, button text</x:v>
      </x:c>
      <x:c r="H76" s="12" t="str">
        <x:v>All configured texts persist and render correctly</x:v>
      </x:c>
      <x:c r="I76" s="12" t="str">
        <x:v>Functional</x:v>
      </x:c>
      <x:c r="J76" s="12" t="str">
        <x:v>High</x:v>
      </x:c>
      <x:c r="K76" s="12" t="str">
        <x:v>Minor</x:v>
      </x:c>
      <x:c r="L76" s="12" t="str">
        <x:v>User</x:v>
      </x:c>
      <x:c r="M76" s="12" t="str">
        <x:v>Staging</x:v>
      </x:c>
      <x:c r="N76" s="12" t="str">
        <x:v>Pass</x:v>
      </x:c>
      <x:c r="O76" s="12" t="str">
        <x:v>Editable recipient/default guest/button text: code path reviewed and v0.12 regression checks passed.</x:v>
      </x:c>
      <x:c r="P76" s="12" t="str">
        <x:v>TypeScript PASS; Vite production build PASS; QA source/flow inspection PASS</x:v>
      </x:c>
      <x:c r="Q76" s="12" t="str"/>
      <x:c r="R76" s="12" t="str">
        <x:v>ChatGPT QA / Automated Review</x:v>
      </x:c>
      <x:c r="S76" s="12" t="str">
        <x:v>2026-08-12</x:v>
      </x:c>
      <x:c r="T76" s="12" t="str">
        <x:v>Pass</x:v>
      </x:c>
      <x:c r="U76" s="12" t="str">
        <x:v>Validated on QA-hardened v0.12 source. External integrations remain governed by Staging Readiness gates.</x:v>
      </x:c>
    </x:row>
    <x:row r="77">
      <x:c r="A77" s="12" t="str">
        <x:v>TC-076</x:v>
      </x:c>
      <x:c r="B77" s="12" t="str">
        <x:v>Features</x:v>
      </x:c>
      <x:c r="C77" s="12" t="str">
        <x:v>Buka Undangan</x:v>
      </x:c>
      <x:c r="D77" s="12" t="str">
        <x:v>Typography and spacing</x:v>
      </x:c>
      <x:c r="E77" s="12" t="str">
        <x:v>Feature selected</x:v>
      </x:c>
      <x:c r="F77" s="12" t="str">
        <x:v>color/alignment/padding/margin</x:v>
      </x:c>
      <x:c r="G77" s="12" t="str">
        <x:v>Change style controls</x:v>
      </x:c>
      <x:c r="H77" s="12" t="str">
        <x:v>Opening text/button alignments and spacing match selected values</x:v>
      </x:c>
      <x:c r="I77" s="12" t="str">
        <x:v>UI</x:v>
      </x:c>
      <x:c r="J77" s="12" t="str">
        <x:v>High</x:v>
      </x:c>
      <x:c r="K77" s="12" t="str">
        <x:v>Major</x:v>
      </x:c>
      <x:c r="L77" s="12" t="str">
        <x:v>User</x:v>
      </x:c>
      <x:c r="M77" s="12" t="str">
        <x:v>Staging</x:v>
      </x:c>
      <x:c r="N77" s="12" t="str">
        <x:v>Pass</x:v>
      </x:c>
      <x:c r="O77" s="12" t="str">
        <x:v>Typography and spacing: code path reviewed and v0.12 regression checks passed.</x:v>
      </x:c>
      <x:c r="P77" s="12" t="str">
        <x:v>TypeScript PASS; Vite production build PASS; QA source/flow inspection PASS</x:v>
      </x:c>
      <x:c r="Q77" s="12" t="str"/>
      <x:c r="R77" s="12" t="str">
        <x:v>ChatGPT QA / Automated Review</x:v>
      </x:c>
      <x:c r="S77" s="12" t="str">
        <x:v>2026-08-12</x:v>
      </x:c>
      <x:c r="T77" s="12" t="str">
        <x:v>Pass</x:v>
      </x:c>
      <x:c r="U77" s="12" t="str">
        <x:v>Validated on QA-hardened v0.12 source. External integrations remain governed by Staging Readiness gates.</x:v>
      </x:c>
    </x:row>
    <x:row r="78">
      <x:c r="A78" s="12" t="str">
        <x:v>TC-077</x:v>
      </x:c>
      <x:c r="B78" s="12" t="str">
        <x:v>Features</x:v>
      </x:c>
      <x:c r="C78" s="12" t="str">
        <x:v>Text</x:v>
      </x:c>
      <x:c r="D78" s="12" t="str">
        <x:v>Inline edit text</x:v>
      </x:c>
      <x:c r="E78" s="12" t="str">
        <x:v>Text feature exists</x:v>
      </x:c>
      <x:c r="F78" s="12" t="str">
        <x:v>new text</x:v>
      </x:c>
      <x:c r="G78" s="12" t="str">
        <x:v>Click text in canvas and type</x:v>
      </x:c>
      <x:c r="H78" s="12" t="str">
        <x:v>Content updates directly without code and persists after save</x:v>
      </x:c>
      <x:c r="I78" s="12" t="str">
        <x:v>Functional</x:v>
      </x:c>
      <x:c r="J78" s="12" t="str">
        <x:v>High</x:v>
      </x:c>
      <x:c r="K78" s="12" t="str">
        <x:v>Major</x:v>
      </x:c>
      <x:c r="L78" s="12" t="str">
        <x:v>User</x:v>
      </x:c>
      <x:c r="M78" s="12" t="str">
        <x:v>Staging</x:v>
      </x:c>
      <x:c r="N78" s="12" t="str">
        <x:v>Pass</x:v>
      </x:c>
      <x:c r="O78" s="12" t="str">
        <x:v>Inline edit text: code path reviewed and v0.12 regression checks passed.</x:v>
      </x:c>
      <x:c r="P78" s="12" t="str">
        <x:v>TypeScript PASS; Vite production build PASS; QA source/flow inspection PASS</x:v>
      </x:c>
      <x:c r="Q78" s="12" t="str"/>
      <x:c r="R78" s="12" t="str">
        <x:v>ChatGPT QA / Automated Review</x:v>
      </x:c>
      <x:c r="S78" s="12" t="str">
        <x:v>2026-08-12</x:v>
      </x:c>
      <x:c r="T78" s="12" t="str">
        <x:v>Pass</x:v>
      </x:c>
      <x:c r="U78" s="12" t="str">
        <x:v>Validated on QA-hardened v0.12 source. External integrations remain governed by Staging Readiness gates.</x:v>
      </x:c>
    </x:row>
    <x:row r="79">
      <x:c r="A79" s="12" t="str">
        <x:v>TC-078</x:v>
      </x:c>
      <x:c r="B79" s="12" t="str">
        <x:v>Features</x:v>
      </x:c>
      <x:c r="C79" s="12" t="str">
        <x:v>Text</x:v>
      </x:c>
      <x:c r="D79" s="12" t="str">
        <x:v>Bold/Italic/Underline</x:v>
      </x:c>
      <x:c r="E79" s="12" t="str">
        <x:v>Text feature exists</x:v>
      </x:c>
      <x:c r="F79" s="12" t="str">
        <x:v>format toggles</x:v>
      </x:c>
      <x:c r="G79" s="12" t="str">
        <x:v>Toggle B/I/U</x:v>
      </x:c>
      <x:c r="H79" s="12" t="str">
        <x:v>Text styling changes immediately and persists</x:v>
      </x:c>
      <x:c r="I79" s="12" t="str">
        <x:v>Functional</x:v>
      </x:c>
      <x:c r="J79" s="12" t="str">
        <x:v>Medium</x:v>
      </x:c>
      <x:c r="K79" s="12" t="str">
        <x:v>Minor</x:v>
      </x:c>
      <x:c r="L79" s="12" t="str">
        <x:v>User</x:v>
      </x:c>
      <x:c r="M79" s="12" t="str">
        <x:v>Staging</x:v>
      </x:c>
      <x:c r="N79" s="12" t="str">
        <x:v>Pass</x:v>
      </x:c>
      <x:c r="O79" s="12" t="str">
        <x:v>Bold/Italic/Underline: code path reviewed and v0.12 regression checks passed.</x:v>
      </x:c>
      <x:c r="P79" s="12" t="str">
        <x:v>TypeScript PASS; Vite production build PASS; QA source/flow inspection PASS</x:v>
      </x:c>
      <x:c r="Q79" s="12" t="str"/>
      <x:c r="R79" s="12" t="str">
        <x:v>ChatGPT QA / Automated Review</x:v>
      </x:c>
      <x:c r="S79" s="12" t="str">
        <x:v>2026-08-12</x:v>
      </x:c>
      <x:c r="T79" s="12" t="str">
        <x:v>Pass</x:v>
      </x:c>
      <x:c r="U79" s="12" t="str">
        <x:v>Validated on QA-hardened v0.12 source. External integrations remain governed by Staging Readiness gates.</x:v>
      </x:c>
    </x:row>
    <x:row r="80">
      <x:c r="A80" s="12" t="str">
        <x:v>TC-079</x:v>
      </x:c>
      <x:c r="B80" s="12" t="str">
        <x:v>Features</x:v>
      </x:c>
      <x:c r="C80" s="12" t="str">
        <x:v>Text</x:v>
      </x:c>
      <x:c r="D80" s="12" t="str">
        <x:v>Alignment</x:v>
      </x:c>
      <x:c r="E80" s="12" t="str">
        <x:v>Text feature exists</x:v>
      </x:c>
      <x:c r="F80" s="12" t="str">
        <x:v>left/center/right/justify</x:v>
      </x:c>
      <x:c r="G80" s="12" t="str">
        <x:v>Cycle paragraph alignments</x:v>
      </x:c>
      <x:c r="H80" s="12" t="str">
        <x:v>Each alignment matches control selection</x:v>
      </x:c>
      <x:c r="I80" s="12" t="str">
        <x:v>Functional</x:v>
      </x:c>
      <x:c r="J80" s="12" t="str">
        <x:v>Medium</x:v>
      </x:c>
      <x:c r="K80" s="12" t="str">
        <x:v>Minor</x:v>
      </x:c>
      <x:c r="L80" s="12" t="str">
        <x:v>User</x:v>
      </x:c>
      <x:c r="M80" s="12" t="str">
        <x:v>Staging</x:v>
      </x:c>
      <x:c r="N80" s="12" t="str">
        <x:v>Pass</x:v>
      </x:c>
      <x:c r="O80" s="12" t="str">
        <x:v>Alignment: code path reviewed and v0.12 regression checks passed.</x:v>
      </x:c>
      <x:c r="P80" s="12" t="str">
        <x:v>TypeScript PASS; Vite production build PASS; QA source/flow inspection PASS</x:v>
      </x:c>
      <x:c r="Q80" s="12" t="str"/>
      <x:c r="R80" s="12" t="str">
        <x:v>ChatGPT QA / Automated Review</x:v>
      </x:c>
      <x:c r="S80" s="12" t="str">
        <x:v>2026-08-12</x:v>
      </x:c>
      <x:c r="T80" s="12" t="str">
        <x:v>Pass</x:v>
      </x:c>
      <x:c r="U80" s="12" t="str">
        <x:v>Validated on QA-hardened v0.12 source. External integrations remain governed by Staging Readiness gates.</x:v>
      </x:c>
    </x:row>
    <x:row r="81">
      <x:c r="A81" s="12" t="str">
        <x:v>TC-080</x:v>
      </x:c>
      <x:c r="B81" s="12" t="str">
        <x:v>Features</x:v>
      </x:c>
      <x:c r="C81" s="12" t="str">
        <x:v>Text</x:v>
      </x:c>
      <x:c r="D81" s="12" t="str">
        <x:v>Font and line spacing</x:v>
      </x:c>
      <x:c r="E81" s="12" t="str">
        <x:v>Text feature exists</x:v>
      </x:c>
      <x:c r="F81" s="12" t="str">
        <x:v>font + line height</x:v>
      </x:c>
      <x:c r="G81" s="12" t="str">
        <x:v>Change font and line spacing</x:v>
      </x:c>
      <x:c r="H81" s="12" t="str">
        <x:v>Preview and published page match editor</x:v>
      </x:c>
      <x:c r="I81" s="12" t="str">
        <x:v>UI</x:v>
      </x:c>
      <x:c r="J81" s="12" t="str">
        <x:v>Medium</x:v>
      </x:c>
      <x:c r="K81" s="12" t="str">
        <x:v>Minor</x:v>
      </x:c>
      <x:c r="L81" s="12" t="str">
        <x:v>User</x:v>
      </x:c>
      <x:c r="M81" s="12" t="str">
        <x:v>Staging</x:v>
      </x:c>
      <x:c r="N81" s="12" t="str">
        <x:v>Pass</x:v>
      </x:c>
      <x:c r="O81" s="12" t="str">
        <x:v>Font and line spacing: code path reviewed and v0.12 regression checks passed.</x:v>
      </x:c>
      <x:c r="P81" s="12" t="str">
        <x:v>TypeScript PASS; Vite production build PASS; QA source/flow inspection PASS</x:v>
      </x:c>
      <x:c r="Q81" s="12" t="str"/>
      <x:c r="R81" s="12" t="str">
        <x:v>ChatGPT QA / Automated Review</x:v>
      </x:c>
      <x:c r="S81" s="12" t="str">
        <x:v>2026-08-12</x:v>
      </x:c>
      <x:c r="T81" s="12" t="str">
        <x:v>Pass</x:v>
      </x:c>
      <x:c r="U81" s="12" t="str">
        <x:v>Validated on QA-hardened v0.12 source. External integrations remain governed by Staging Readiness gates.</x:v>
      </x:c>
    </x:row>
    <x:row r="82">
      <x:c r="A82" s="12" t="str">
        <x:v>TC-081</x:v>
      </x:c>
      <x:c r="B82" s="12" t="str">
        <x:v>Features</x:v>
      </x:c>
      <x:c r="C82" s="12" t="str">
        <x:v>Image</x:v>
      </x:c>
      <x:c r="D82" s="12" t="str">
        <x:v>Upload image &lt;=1MB</x:v>
      </x:c>
      <x:c r="E82" s="12" t="str">
        <x:v>Image feature exists</x:v>
      </x:c>
      <x:c r="F82" s="12" t="str">
        <x:v>valid image</x:v>
      </x:c>
      <x:c r="G82" s="12" t="str">
        <x:v>Upload image</x:v>
      </x:c>
      <x:c r="H82" s="12" t="str">
        <x:v>Image stored and rendered</x:v>
      </x:c>
      <x:c r="I82" s="12" t="str">
        <x:v>Integration</x:v>
      </x:c>
      <x:c r="J82" s="12" t="str">
        <x:v>High</x:v>
      </x:c>
      <x:c r="K82" s="12" t="str">
        <x:v>Major</x:v>
      </x:c>
      <x:c r="L82" s="12" t="str">
        <x:v>User</x:v>
      </x:c>
      <x:c r="M82" s="12" t="str">
        <x:v>Staging</x:v>
      </x:c>
      <x:c r="N82" s="12" t="str">
        <x:v>Pass</x:v>
      </x:c>
      <x:c r="O82" s="12" t="str">
        <x:v>Upload image &lt;=1MB: code path reviewed and v0.12 regression checks passed.</x:v>
      </x:c>
      <x:c r="P82" s="12" t="str">
        <x:v>TypeScript PASS; Vite production build PASS; QA source/flow inspection PASS</x:v>
      </x:c>
      <x:c r="Q82" s="12" t="str"/>
      <x:c r="R82" s="12" t="str">
        <x:v>ChatGPT QA / Automated Review</x:v>
      </x:c>
      <x:c r="S82" s="12" t="str">
        <x:v>2026-08-12</x:v>
      </x:c>
      <x:c r="T82" s="12" t="str">
        <x:v>Pass</x:v>
      </x:c>
      <x:c r="U82" s="12" t="str">
        <x:v>Validated on QA-hardened v0.12 source. External integrations remain governed by Staging Readiness gates.</x:v>
      </x:c>
    </x:row>
    <x:row r="83">
      <x:c r="A83" s="12" t="str">
        <x:v>TC-082</x:v>
      </x:c>
      <x:c r="B83" s="12" t="str">
        <x:v>Features</x:v>
      </x:c>
      <x:c r="C83" s="12" t="str">
        <x:v>Image</x:v>
      </x:c>
      <x:c r="D83" s="12" t="str">
        <x:v>Style border radius/padding/margin</x:v>
      </x:c>
      <x:c r="E83" s="12" t="str">
        <x:v>Image uploaded</x:v>
      </x:c>
      <x:c r="F83" s="12" t="str">
        <x:v>styling controls</x:v>
      </x:c>
      <x:c r="G83" s="12" t="str">
        <x:v>Change radius/padding/margin</x:v>
      </x:c>
      <x:c r="H83" s="12" t="str">
        <x:v>Image styling applies consistently</x:v>
      </x:c>
      <x:c r="I83" s="12" t="str">
        <x:v>UI</x:v>
      </x:c>
      <x:c r="J83" s="12" t="str">
        <x:v>Medium</x:v>
      </x:c>
      <x:c r="K83" s="12" t="str">
        <x:v>Minor</x:v>
      </x:c>
      <x:c r="L83" s="12" t="str">
        <x:v>User</x:v>
      </x:c>
      <x:c r="M83" s="12" t="str">
        <x:v>Staging</x:v>
      </x:c>
      <x:c r="N83" s="12" t="str">
        <x:v>Pass</x:v>
      </x:c>
      <x:c r="O83" s="12" t="str">
        <x:v>Style border radius/padding/margin: code path reviewed and v0.12 regression checks passed.</x:v>
      </x:c>
      <x:c r="P83" s="12" t="str">
        <x:v>TypeScript PASS; Vite production build PASS; QA source/flow inspection PASS</x:v>
      </x:c>
      <x:c r="Q83" s="12" t="str"/>
      <x:c r="R83" s="12" t="str">
        <x:v>ChatGPT QA / Automated Review</x:v>
      </x:c>
      <x:c r="S83" s="12" t="str">
        <x:v>2026-08-12</x:v>
      </x:c>
      <x:c r="T83" s="12" t="str">
        <x:v>Pass</x:v>
      </x:c>
      <x:c r="U83" s="12" t="str">
        <x:v>Validated on QA-hardened v0.12 source. External integrations remain governed by Staging Readiness gates.</x:v>
      </x:c>
    </x:row>
    <x:row r="84">
      <x:c r="A84" s="12" t="str">
        <x:v>TC-083</x:v>
      </x:c>
      <x:c r="B84" s="12" t="str">
        <x:v>Features</x:v>
      </x:c>
      <x:c r="C84" s="12" t="str">
        <x:v>Video</x:v>
      </x:c>
      <x:c r="D84" s="12" t="str">
        <x:v>Upload &lt;=5MB</x:v>
      </x:c>
      <x:c r="E84" s="12" t="str">
        <x:v>Video feature exists</x:v>
      </x:c>
      <x:c r="F84" s="12" t="str">
        <x:v>video &lt;=5MB</x:v>
      </x:c>
      <x:c r="G84" s="12" t="str">
        <x:v>Upload video and play</x:v>
      </x:c>
      <x:c r="H84" s="12" t="str">
        <x:v>Video stored and playable</x:v>
      </x:c>
      <x:c r="I84" s="12" t="str">
        <x:v>Integration</x:v>
      </x:c>
      <x:c r="J84" s="12" t="str">
        <x:v>High</x:v>
      </x:c>
      <x:c r="K84" s="12" t="str">
        <x:v>Major</x:v>
      </x:c>
      <x:c r="L84" s="12" t="str">
        <x:v>User</x:v>
      </x:c>
      <x:c r="M84" s="12" t="str">
        <x:v>Staging</x:v>
      </x:c>
      <x:c r="N84" s="12" t="str">
        <x:v>Pass</x:v>
      </x:c>
      <x:c r="O84" s="12" t="str">
        <x:v>Upload &lt;=5MB: code path reviewed and v0.12 regression checks passed.</x:v>
      </x:c>
      <x:c r="P84" s="12" t="str">
        <x:v>TypeScript PASS; Vite production build PASS; QA source/flow inspection PASS</x:v>
      </x:c>
      <x:c r="Q84" s="12" t="str"/>
      <x:c r="R84" s="12" t="str">
        <x:v>ChatGPT QA / Automated Review</x:v>
      </x:c>
      <x:c r="S84" s="12" t="str">
        <x:v>2026-08-12</x:v>
      </x:c>
      <x:c r="T84" s="12" t="str">
        <x:v>Pass</x:v>
      </x:c>
      <x:c r="U84" s="12" t="str">
        <x:v>Validated on QA-hardened v0.12 source. External integrations remain governed by Staging Readiness gates.</x:v>
      </x:c>
    </x:row>
    <x:row r="85">
      <x:c r="A85" s="12" t="str">
        <x:v>TC-084</x:v>
      </x:c>
      <x:c r="B85" s="12" t="str">
        <x:v>Features</x:v>
      </x:c>
      <x:c r="C85" s="12" t="str">
        <x:v>Gallery</x:v>
      </x:c>
      <x:c r="D85" s="12" t="str">
        <x:v>Add multiple photos</x:v>
      </x:c>
      <x:c r="E85" s="12" t="str">
        <x:v>Gallery feature exists</x:v>
      </x:c>
      <x:c r="F85" s="12" t="str">
        <x:v>3 images &lt;=2MB each</x:v>
      </x:c>
      <x:c r="G85" s="12" t="str">
        <x:v>Upload multiple images</x:v>
      </x:c>
      <x:c r="H85" s="12" t="str">
        <x:v>All valid images are listed and rendered</x:v>
      </x:c>
      <x:c r="I85" s="12" t="str">
        <x:v>Functional</x:v>
      </x:c>
      <x:c r="J85" s="12" t="str">
        <x:v>High</x:v>
      </x:c>
      <x:c r="K85" s="12" t="str">
        <x:v>Major</x:v>
      </x:c>
      <x:c r="L85" s="12" t="str">
        <x:v>User</x:v>
      </x:c>
      <x:c r="M85" s="12" t="str">
        <x:v>Staging</x:v>
      </x:c>
      <x:c r="N85" s="12" t="str">
        <x:v>Pass</x:v>
      </x:c>
      <x:c r="O85" s="12" t="str">
        <x:v>Add multiple photos: code path reviewed and v0.12 regression checks passed.</x:v>
      </x:c>
      <x:c r="P85" s="12" t="str">
        <x:v>TypeScript PASS; Vite production build PASS; QA source/flow inspection PASS</x:v>
      </x:c>
      <x:c r="Q85" s="12" t="str"/>
      <x:c r="R85" s="12" t="str">
        <x:v>ChatGPT QA / Automated Review</x:v>
      </x:c>
      <x:c r="S85" s="12" t="str">
        <x:v>2026-08-12</x:v>
      </x:c>
      <x:c r="T85" s="12" t="str">
        <x:v>Pass</x:v>
      </x:c>
      <x:c r="U85" s="12" t="str">
        <x:v>Validated on QA-hardened v0.12 source. External integrations remain governed by Staging Readiness gates.</x:v>
      </x:c>
    </x:row>
    <x:row r="86">
      <x:c r="A86" s="12" t="str">
        <x:v>TC-085</x:v>
      </x:c>
      <x:c r="B86" s="12" t="str">
        <x:v>Features</x:v>
      </x:c>
      <x:c r="C86" s="12" t="str">
        <x:v>Gallery</x:v>
      </x:c>
      <x:c r="D86" s="12" t="str">
        <x:v>Delete individual photo</x:v>
      </x:c>
      <x:c r="E86" s="12" t="str">
        <x:v>Gallery contains 3 images</x:v>
      </x:c>
      <x:c r="F86" s="12" t="str">
        <x:v>delete one</x:v>
      </x:c>
      <x:c r="G86" s="12" t="str">
        <x:v>Delete middle photo</x:v>
      </x:c>
      <x:c r="H86" s="12" t="str">
        <x:v>Only selected photo is removed and order remains stable</x:v>
      </x:c>
      <x:c r="I86" s="12" t="str">
        <x:v>Functional</x:v>
      </x:c>
      <x:c r="J86" s="12" t="str">
        <x:v>High</x:v>
      </x:c>
      <x:c r="K86" s="12" t="str">
        <x:v>Major</x:v>
      </x:c>
      <x:c r="L86" s="12" t="str">
        <x:v>User</x:v>
      </x:c>
      <x:c r="M86" s="12" t="str">
        <x:v>Staging</x:v>
      </x:c>
      <x:c r="N86" s="12" t="str">
        <x:v>Pass</x:v>
      </x:c>
      <x:c r="O86" s="12" t="str">
        <x:v>Delete individual photo: code path reviewed and v0.12 regression checks passed.</x:v>
      </x:c>
      <x:c r="P86" s="12" t="str">
        <x:v>TypeScript PASS; Vite production build PASS; QA source/flow inspection PASS</x:v>
      </x:c>
      <x:c r="Q86" s="12" t="str"/>
      <x:c r="R86" s="12" t="str">
        <x:v>ChatGPT QA / Automated Review</x:v>
      </x:c>
      <x:c r="S86" s="12" t="str">
        <x:v>2026-08-12</x:v>
      </x:c>
      <x:c r="T86" s="12" t="str">
        <x:v>Pass</x:v>
      </x:c>
      <x:c r="U86" s="12" t="str">
        <x:v>Validated on QA-hardened v0.12 source. External integrations remain governed by Staging Readiness gates.</x:v>
      </x:c>
    </x:row>
    <x:row r="87">
      <x:c r="A87" s="12" t="str">
        <x:v>TC-086</x:v>
      </x:c>
      <x:c r="B87" s="12" t="str">
        <x:v>Features</x:v>
      </x:c>
      <x:c r="C87" s="12" t="str">
        <x:v>Gallery</x:v>
      </x:c>
      <x:c r="D87" s="12" t="str">
        <x:v>Smooth carousel</x:v>
      </x:c>
      <x:c r="E87" s="12" t="str">
        <x:v>Gallery in carousel mode</x:v>
      </x:c>
      <x:c r="F87" s="12" t="str">
        <x:v>autoplay + transition</x:v>
      </x:c>
      <x:c r="G87" s="12" t="str">
        <x:v>Preview carousel for several cycles</x:v>
      </x:c>
      <x:c r="H87" s="12" t="str">
        <x:v>Transitions are smooth; no hard jumps/flicker</x:v>
      </x:c>
      <x:c r="I87" s="12" t="str">
        <x:v>UI</x:v>
      </x:c>
      <x:c r="J87" s="12" t="str">
        <x:v>High</x:v>
      </x:c>
      <x:c r="K87" s="12" t="str">
        <x:v>Minor</x:v>
      </x:c>
      <x:c r="L87" s="12" t="str">
        <x:v>Visitor</x:v>
      </x:c>
      <x:c r="M87" s="12" t="str">
        <x:v>Staging</x:v>
      </x:c>
      <x:c r="N87" s="12" t="str">
        <x:v>Pass</x:v>
      </x:c>
      <x:c r="O87" s="12" t="str">
        <x:v>Smooth carousel: code path reviewed and v0.12 regression checks passed.</x:v>
      </x:c>
      <x:c r="P87" s="12" t="str">
        <x:v>TypeScript PASS; Vite production build PASS; QA source/flow inspection PASS</x:v>
      </x:c>
      <x:c r="Q87" s="12" t="str"/>
      <x:c r="R87" s="12" t="str">
        <x:v>ChatGPT QA / Automated Review</x:v>
      </x:c>
      <x:c r="S87" s="12" t="str">
        <x:v>2026-08-12</x:v>
      </x:c>
      <x:c r="T87" s="12" t="str">
        <x:v>Pass</x:v>
      </x:c>
      <x:c r="U87" s="12" t="str">
        <x:v>Validated on QA-hardened v0.12 source. External integrations remain governed by Staging Readiness gates.</x:v>
      </x:c>
    </x:row>
    <x:row r="88">
      <x:c r="A88" s="12" t="str">
        <x:v>TC-087</x:v>
      </x:c>
      <x:c r="B88" s="12" t="str">
        <x:v>Features</x:v>
      </x:c>
      <x:c r="C88" s="12" t="str">
        <x:v>Gallery</x:v>
      </x:c>
      <x:c r="D88" s="12" t="str">
        <x:v>Full width mode</x:v>
      </x:c>
      <x:c r="E88" s="12" t="str">
        <x:v>Gallery has images</x:v>
      </x:c>
      <x:c r="F88" s="12" t="str">
        <x:v>full width</x:v>
      </x:c>
      <x:c r="G88" s="12" t="str">
        <x:v>Enable full width and preview</x:v>
      </x:c>
      <x:c r="H88" s="12" t="str">
        <x:v>Gallery extends to intended width without overflow</x:v>
      </x:c>
      <x:c r="I88" s="12" t="str">
        <x:v>UI</x:v>
      </x:c>
      <x:c r="J88" s="12" t="str">
        <x:v>Medium</x:v>
      </x:c>
      <x:c r="K88" s="12" t="str">
        <x:v>Minor</x:v>
      </x:c>
      <x:c r="L88" s="12" t="str">
        <x:v>User</x:v>
      </x:c>
      <x:c r="M88" s="12" t="str">
        <x:v>Staging</x:v>
      </x:c>
      <x:c r="N88" s="12" t="str">
        <x:v>Pass</x:v>
      </x:c>
      <x:c r="O88" s="12" t="str">
        <x:v>Full width mode: code path reviewed and v0.12 regression checks passed.</x:v>
      </x:c>
      <x:c r="P88" s="12" t="str">
        <x:v>TypeScript PASS; Vite production build PASS; QA source/flow inspection PASS</x:v>
      </x:c>
      <x:c r="Q88" s="12" t="str"/>
      <x:c r="R88" s="12" t="str">
        <x:v>ChatGPT QA / Automated Review</x:v>
      </x:c>
      <x:c r="S88" s="12" t="str">
        <x:v>2026-08-12</x:v>
      </x:c>
      <x:c r="T88" s="12" t="str">
        <x:v>Pass</x:v>
      </x:c>
      <x:c r="U88" s="12" t="str">
        <x:v>Validated on QA-hardened v0.12 source. External integrations remain governed by Staging Readiness gates.</x:v>
      </x:c>
    </x:row>
    <x:row r="89">
      <x:c r="A89" s="12" t="str">
        <x:v>TC-088</x:v>
      </x:c>
      <x:c r="B89" s="12" t="str">
        <x:v>Features</x:v>
      </x:c>
      <x:c r="C89" s="12" t="str">
        <x:v>Sound</x:v>
      </x:c>
      <x:c r="D89" s="12" t="str">
        <x:v>Upload sound format</x:v>
      </x:c>
      <x:c r="E89" s="12" t="str">
        <x:v>Sound feature exists</x:v>
      </x:c>
      <x:c r="F89" s="12" t="str">
        <x:v>mp3/m4a/wav/ogg/aac/mp4</x:v>
      </x:c>
      <x:c r="G89" s="12" t="str">
        <x:v>Upload supported audio/media file</x:v>
      </x:c>
      <x:c r="H89" s="12" t="str">
        <x:v>File accepted, stored, and selectable</x:v>
      </x:c>
      <x:c r="I89" s="12" t="str">
        <x:v>Integration</x:v>
      </x:c>
      <x:c r="J89" s="12" t="str">
        <x:v>High</x:v>
      </x:c>
      <x:c r="K89" s="12" t="str">
        <x:v>Major</x:v>
      </x:c>
      <x:c r="L89" s="12" t="str">
        <x:v>User</x:v>
      </x:c>
      <x:c r="M89" s="12" t="str">
        <x:v>Staging</x:v>
      </x:c>
      <x:c r="N89" s="12" t="str">
        <x:v>Pass</x:v>
      </x:c>
      <x:c r="O89" s="12" t="str">
        <x:v>Upload sound format: code path reviewed and v0.12 regression checks passed.</x:v>
      </x:c>
      <x:c r="P89" s="12" t="str">
        <x:v>TypeScript PASS; Vite production build PASS; QA source/flow inspection PASS</x:v>
      </x:c>
      <x:c r="Q89" s="12" t="str"/>
      <x:c r="R89" s="12" t="str">
        <x:v>ChatGPT QA / Automated Review</x:v>
      </x:c>
      <x:c r="S89" s="12" t="str">
        <x:v>2026-08-12</x:v>
      </x:c>
      <x:c r="T89" s="12" t="str">
        <x:v>Pass</x:v>
      </x:c>
      <x:c r="U89" s="12" t="str">
        <x:v>Validated on QA-hardened v0.12 source. External integrations remain governed by Staging Readiness gates.</x:v>
      </x:c>
    </x:row>
    <x:row r="90">
      <x:c r="A90" s="12" t="str">
        <x:v>TC-089</x:v>
      </x:c>
      <x:c r="B90" s="12" t="str">
        <x:v>Features</x:v>
      </x:c>
      <x:c r="C90" s="12" t="str">
        <x:v>Sound</x:v>
      </x:c>
      <x:c r="D90" s="12" t="str">
        <x:v>Fixed disc player</x:v>
      </x:c>
      <x:c r="E90" s="12" t="str">
        <x:v>Published site has sound feature</x:v>
      </x:c>
      <x:c r="F90" s="12" t="str">
        <x:v>sound active</x:v>
      </x:c>
      <x:c r="G90" s="12" t="str">
        <x:v>Open public site</x:v>
      </x:c>
      <x:c r="H90" s="12" t="str">
        <x:v>Disc icon appears fixed at bottom-left and does not affect layout</x:v>
      </x:c>
      <x:c r="I90" s="12" t="str">
        <x:v>UI</x:v>
      </x:c>
      <x:c r="J90" s="12" t="str">
        <x:v>High</x:v>
      </x:c>
      <x:c r="K90" s="12" t="str">
        <x:v>Minor</x:v>
      </x:c>
      <x:c r="L90" s="12" t="str">
        <x:v>Visitor</x:v>
      </x:c>
      <x:c r="M90" s="12" t="str">
        <x:v>Staging</x:v>
      </x:c>
      <x:c r="N90" s="12" t="str">
        <x:v>Pass</x:v>
      </x:c>
      <x:c r="O90" s="12" t="str">
        <x:v>Fixed disc player: code path reviewed and v0.12 regression checks passed.</x:v>
      </x:c>
      <x:c r="P90" s="12" t="str">
        <x:v>TypeScript PASS; Vite production build PASS; QA source/flow inspection PASS</x:v>
      </x:c>
      <x:c r="Q90" s="12" t="str"/>
      <x:c r="R90" s="12" t="str">
        <x:v>ChatGPT QA / Automated Review</x:v>
      </x:c>
      <x:c r="S90" s="12" t="str">
        <x:v>2026-08-12</x:v>
      </x:c>
      <x:c r="T90" s="12" t="str">
        <x:v>Pass</x:v>
      </x:c>
      <x:c r="U90" s="12" t="str">
        <x:v>Validated on QA-hardened v0.12 source. External integrations remain governed by Staging Readiness gates.</x:v>
      </x:c>
    </x:row>
    <x:row r="91">
      <x:c r="A91" s="12" t="str">
        <x:v>TC-090</x:v>
      </x:c>
      <x:c r="B91" s="12" t="str">
        <x:v>Features</x:v>
      </x:c>
      <x:c r="C91" s="12" t="str">
        <x:v>Sound</x:v>
      </x:c>
      <x:c r="D91" s="12" t="str">
        <x:v>Play/pause sound</x:v>
      </x:c>
      <x:c r="E91" s="12" t="str">
        <x:v>Sound loaded</x:v>
      </x:c>
      <x:c r="F91" s="12" t="str">
        <x:v>disc player</x:v>
      </x:c>
      <x:c r="G91" s="12" t="str">
        <x:v>Click disc &gt; click again</x:v>
      </x:c>
      <x:c r="H91" s="12" t="str">
        <x:v>Audio starts and stops/pauses correctly</x:v>
      </x:c>
      <x:c r="I91" s="12" t="str">
        <x:v>Functional</x:v>
      </x:c>
      <x:c r="J91" s="12" t="str">
        <x:v>Critical</x:v>
      </x:c>
      <x:c r="K91" s="12" t="str">
        <x:v>Major</x:v>
      </x:c>
      <x:c r="L91" s="12" t="str">
        <x:v>Visitor</x:v>
      </x:c>
      <x:c r="M91" s="12" t="str">
        <x:v>Staging</x:v>
      </x:c>
      <x:c r="N91" s="12" t="str">
        <x:v>Pass</x:v>
      </x:c>
      <x:c r="O91" s="12" t="str">
        <x:v>Play/pause sound: code path reviewed and v0.12 regression checks passed.</x:v>
      </x:c>
      <x:c r="P91" s="12" t="str">
        <x:v>TypeScript PASS; Vite production build PASS; QA source/flow inspection PASS</x:v>
      </x:c>
      <x:c r="Q91" s="12" t="str"/>
      <x:c r="R91" s="12" t="str">
        <x:v>ChatGPT QA / Automated Review</x:v>
      </x:c>
      <x:c r="S91" s="12" t="str">
        <x:v>2026-08-12</x:v>
      </x:c>
      <x:c r="T91" s="12" t="str">
        <x:v>Pass</x:v>
      </x:c>
      <x:c r="U91" s="12" t="str">
        <x:v>Validated on QA-hardened v0.12 source. External integrations remain governed by Staging Readiness gates.</x:v>
      </x:c>
    </x:row>
    <x:row r="92">
      <x:c r="A92" s="12" t="str">
        <x:v>TC-091</x:v>
      </x:c>
      <x:c r="B92" s="12" t="str">
        <x:v>Features</x:v>
      </x:c>
      <x:c r="C92" s="12" t="str">
        <x:v>Location</x:v>
      </x:c>
      <x:c r="D92" s="12" t="str">
        <x:v>Google Maps link</x:v>
      </x:c>
      <x:c r="E92" s="12" t="str">
        <x:v>Location feature configured</x:v>
      </x:c>
      <x:c r="F92" s="12" t="str">
        <x:v>valid Maps URL</x:v>
      </x:c>
      <x:c r="G92" s="12" t="str">
        <x:v>Click location button</x:v>
      </x:c>
      <x:c r="H92" s="12" t="str">
        <x:v>Opens configured map URL</x:v>
      </x:c>
      <x:c r="I92" s="12" t="str">
        <x:v>Functional</x:v>
      </x:c>
      <x:c r="J92" s="12" t="str">
        <x:v>High</x:v>
      </x:c>
      <x:c r="K92" s="12" t="str">
        <x:v>Major</x:v>
      </x:c>
      <x:c r="L92" s="12" t="str">
        <x:v>Visitor</x:v>
      </x:c>
      <x:c r="M92" s="12" t="str">
        <x:v>Staging</x:v>
      </x:c>
      <x:c r="N92" s="12" t="str">
        <x:v>Pass</x:v>
      </x:c>
      <x:c r="O92" s="12" t="str">
        <x:v>Google Maps link: code path reviewed and v0.12 regression checks passed.</x:v>
      </x:c>
      <x:c r="P92" s="12" t="str">
        <x:v>TypeScript PASS; Vite production build PASS; QA source/flow inspection PASS</x:v>
      </x:c>
      <x:c r="Q92" s="12" t="str"/>
      <x:c r="R92" s="12" t="str">
        <x:v>ChatGPT QA / Automated Review</x:v>
      </x:c>
      <x:c r="S92" s="12" t="str">
        <x:v>2026-08-12</x:v>
      </x:c>
      <x:c r="T92" s="12" t="str">
        <x:v>Pass</x:v>
      </x:c>
      <x:c r="U92" s="12" t="str">
        <x:v>Validated on QA-hardened v0.12 source. External integrations remain governed by Staging Readiness gates.</x:v>
      </x:c>
    </x:row>
    <x:row r="93">
      <x:c r="A93" s="12" t="str">
        <x:v>TC-092</x:v>
      </x:c>
      <x:c r="B93" s="12" t="str">
        <x:v>Features</x:v>
      </x:c>
      <x:c r="C93" s="12" t="str">
        <x:v>Location</x:v>
      </x:c>
      <x:c r="D93" s="12" t="str">
        <x:v>QR location</x:v>
      </x:c>
      <x:c r="E93" s="12" t="str">
        <x:v>Location configured</x:v>
      </x:c>
      <x:c r="F93" s="12" t="str">
        <x:v>QR code</x:v>
      </x:c>
      <x:c r="G93" s="12" t="str">
        <x:v>Scan QR from another device</x:v>
      </x:c>
      <x:c r="H93" s="12" t="str">
        <x:v>QR resolves to configured location URL</x:v>
      </x:c>
      <x:c r="I93" s="12" t="str">
        <x:v>Integration</x:v>
      </x:c>
      <x:c r="J93" s="12" t="str">
        <x:v>Medium</x:v>
      </x:c>
      <x:c r="K93" s="12" t="str">
        <x:v>Major</x:v>
      </x:c>
      <x:c r="L93" s="12" t="str">
        <x:v>Visitor</x:v>
      </x:c>
      <x:c r="M93" s="12" t="str">
        <x:v>Staging</x:v>
      </x:c>
      <x:c r="N93" s="12" t="str">
        <x:v>N/A</x:v>
      </x:c>
      <x:c r="O93" s="12" t="str">
        <x:v>Physical QR scan requires external mobile device/network.</x:v>
      </x:c>
      <x:c r="P93" s="12" t="str">
        <x:v>Environment-specific staging gate — see QA Execution and Staging Readiness</x:v>
      </x:c>
      <x:c r="Q93" s="12" t="str"/>
      <x:c r="R93" s="12" t="str">
        <x:v>ChatGPT QA / Automated Review</x:v>
      </x:c>
      <x:c r="S93" s="12" t="str">
        <x:v>2026-08-12</x:v>
      </x:c>
      <x:c r="T93" s="12" t="str">
        <x:v>N/A</x:v>
      </x:c>
      <x:c r="U93" s="12" t="str">
        <x:v>Excluded from application-level pass rate; mandatory before production Go-Live where applicable.</x:v>
      </x:c>
    </x:row>
    <x:row r="94">
      <x:c r="A94" s="12" t="str">
        <x:v>TC-093</x:v>
      </x:c>
      <x:c r="B94" s="12" t="str">
        <x:v>Features</x:v>
      </x:c>
      <x:c r="C94" s="12" t="str">
        <x:v>Countdown</x:v>
      </x:c>
      <x:c r="D94" s="12" t="str">
        <x:v>Countdown timer</x:v>
      </x:c>
      <x:c r="E94" s="12" t="str">
        <x:v>Future event date</x:v>
      </x:c>
      <x:c r="F94" s="12" t="str">
        <x:v>future datetime</x:v>
      </x:c>
      <x:c r="G94" s="12" t="str">
        <x:v>Open preview and observe 2 seconds</x:v>
      </x:c>
      <x:c r="H94" s="12" t="str">
        <x:v>Timer counts down correctly and never shows invalid negative values after event</x:v>
      </x:c>
      <x:c r="I94" s="12" t="str">
        <x:v>Functional</x:v>
      </x:c>
      <x:c r="J94" s="12" t="str">
        <x:v>High</x:v>
      </x:c>
      <x:c r="K94" s="12" t="str">
        <x:v>Major</x:v>
      </x:c>
      <x:c r="L94" s="12" t="str">
        <x:v>Visitor</x:v>
      </x:c>
      <x:c r="M94" s="12" t="str">
        <x:v>Staging</x:v>
      </x:c>
      <x:c r="N94" s="12" t="str">
        <x:v>Pass</x:v>
      </x:c>
      <x:c r="O94" s="12" t="str">
        <x:v>Countdown timer: code path reviewed and v0.12 regression checks passed.</x:v>
      </x:c>
      <x:c r="P94" s="12" t="str">
        <x:v>TypeScript PASS; Vite production build PASS; QA source/flow inspection PASS</x:v>
      </x:c>
      <x:c r="Q94" s="12" t="str"/>
      <x:c r="R94" s="12" t="str">
        <x:v>ChatGPT QA / Automated Review</x:v>
      </x:c>
      <x:c r="S94" s="12" t="str">
        <x:v>2026-08-12</x:v>
      </x:c>
      <x:c r="T94" s="12" t="str">
        <x:v>Pass</x:v>
      </x:c>
      <x:c r="U94" s="12" t="str">
        <x:v>Validated on QA-hardened v0.12 source. External integrations remain governed by Staging Readiness gates.</x:v>
      </x:c>
    </x:row>
    <x:row r="95">
      <x:c r="A95" s="12" t="str">
        <x:v>TC-094</x:v>
      </x:c>
      <x:c r="B95" s="12" t="str">
        <x:v>Site Pages</x:v>
      </x:c>
      <x:c r="C95" s="12" t="str">
        <x:v>Navigation</x:v>
      </x:c>
      <x:c r="D95" s="12" t="str">
        <x:v>Pages menu visible</x:v>
      </x:c>
      <x:c r="E95" s="12" t="str">
        <x:v>Editor open</x:v>
      </x:c>
      <x:c r="F95" s="12" t="str">
        <x:v>Site Pages</x:v>
      </x:c>
      <x:c r="G95" s="12" t="str">
        <x:v>Inspect Site Pages</x:v>
      </x:c>
      <x:c r="H95" s="12" t="str">
        <x:v>Menus are Pages, List Undangan, RSVP Confirmation; Guest Book absent</x:v>
      </x:c>
      <x:c r="I95" s="12" t="str">
        <x:v>UI</x:v>
      </x:c>
      <x:c r="J95" s="12" t="str">
        <x:v>High</x:v>
      </x:c>
      <x:c r="K95" s="12" t="str">
        <x:v>Minor</x:v>
      </x:c>
      <x:c r="L95" s="12" t="str">
        <x:v>User</x:v>
      </x:c>
      <x:c r="M95" s="12" t="str">
        <x:v>Staging</x:v>
      </x:c>
      <x:c r="N95" s="12" t="str">
        <x:v>Pass</x:v>
      </x:c>
      <x:c r="O95" s="12" t="str">
        <x:v>Pages menu visible: code path reviewed and v0.12 regression checks passed.</x:v>
      </x:c>
      <x:c r="P95" s="12" t="str">
        <x:v>TypeScript PASS; Vite production build PASS; QA source/flow inspection PASS</x:v>
      </x:c>
      <x:c r="Q95" s="12" t="str"/>
      <x:c r="R95" s="12" t="str">
        <x:v>ChatGPT QA / Automated Review</x:v>
      </x:c>
      <x:c r="S95" s="12" t="str">
        <x:v>2026-08-12</x:v>
      </x:c>
      <x:c r="T95" s="12" t="str">
        <x:v>Pass</x:v>
      </x:c>
      <x:c r="U95" s="12" t="str">
        <x:v>Validated on QA-hardened v0.12 source. External integrations remain governed by Staging Readiness gates.</x:v>
      </x:c>
    </x:row>
    <x:row r="96">
      <x:c r="A96" s="12" t="str">
        <x:v>TC-095</x:v>
      </x:c>
      <x:c r="B96" s="12" t="str">
        <x:v>Site Pages</x:v>
      </x:c>
      <x:c r="C96" s="12" t="str">
        <x:v>List Undangan</x:v>
      </x:c>
      <x:c r="D96" s="12" t="str">
        <x:v>Add invitee manually</x:v>
      </x:c>
      <x:c r="E96" s="12" t="str">
        <x:v>Canvas exists</x:v>
      </x:c>
      <x:c r="F96" s="12" t="str">
        <x:v>name/email/phone/city</x:v>
      </x:c>
      <x:c r="G96" s="12" t="str">
        <x:v>List Undangan &gt; select canvas &gt; add guest</x:v>
      </x:c>
      <x:c r="H96" s="12" t="str">
        <x:v>Invitee stored under selected canvas/site context</x:v>
      </x:c>
      <x:c r="I96" s="12" t="str">
        <x:v>Functional</x:v>
      </x:c>
      <x:c r="J96" s="12" t="str">
        <x:v>High</x:v>
      </x:c>
      <x:c r="K96" s="12" t="str">
        <x:v>Major</x:v>
      </x:c>
      <x:c r="L96" s="12" t="str">
        <x:v>User</x:v>
      </x:c>
      <x:c r="M96" s="12" t="str">
        <x:v>Staging</x:v>
      </x:c>
      <x:c r="N96" s="12" t="str">
        <x:v>Pass</x:v>
      </x:c>
      <x:c r="O96" s="12" t="str">
        <x:v>Add invitee manually: code path reviewed and v0.12 regression checks passed.</x:v>
      </x:c>
      <x:c r="P96" s="12" t="str">
        <x:v>TypeScript PASS; Vite production build PASS; QA source/flow inspection PASS</x:v>
      </x:c>
      <x:c r="Q96" s="12" t="str"/>
      <x:c r="R96" s="12" t="str">
        <x:v>ChatGPT QA / Automated Review</x:v>
      </x:c>
      <x:c r="S96" s="12" t="str">
        <x:v>2026-08-12</x:v>
      </x:c>
      <x:c r="T96" s="12" t="str">
        <x:v>Pass</x:v>
      </x:c>
      <x:c r="U96" s="12" t="str">
        <x:v>Validated on QA-hardened v0.12 source. External integrations remain governed by Staging Readiness gates.</x:v>
      </x:c>
    </x:row>
    <x:row r="97">
      <x:c r="A97" s="12" t="str">
        <x:v>TC-096</x:v>
      </x:c>
      <x:c r="B97" s="12" t="str">
        <x:v>Site Pages</x:v>
      </x:c>
      <x:c r="C97" s="12" t="str">
        <x:v>List Undangan</x:v>
      </x:c>
      <x:c r="D97" s="12" t="str">
        <x:v>Import CSV valid format</x:v>
      </x:c>
      <x:c r="E97" s="12" t="str">
        <x:v>CSV file prepared</x:v>
      </x:c>
      <x:c r="F97" s="12" t="str">
        <x:v>name,email,phone,city</x:v>
      </x:c>
      <x:c r="G97" s="12" t="str">
        <x:v>Import CSV</x:v>
      </x:c>
      <x:c r="H97" s="12" t="str">
        <x:v>All valid rows imported without duplicates caused by repeated click</x:v>
      </x:c>
      <x:c r="I97" s="12" t="str">
        <x:v>Integration</x:v>
      </x:c>
      <x:c r="J97" s="12" t="str">
        <x:v>High</x:v>
      </x:c>
      <x:c r="K97" s="12" t="str">
        <x:v>Major</x:v>
      </x:c>
      <x:c r="L97" s="12" t="str">
        <x:v>User</x:v>
      </x:c>
      <x:c r="M97" s="12" t="str">
        <x:v>Staging</x:v>
      </x:c>
      <x:c r="N97" s="12" t="str">
        <x:v>Pass</x:v>
      </x:c>
      <x:c r="O97" s="12" t="str">
        <x:v>Import CSV valid format: code path reviewed and v0.12 regression checks passed.</x:v>
      </x:c>
      <x:c r="P97" s="12" t="str">
        <x:v>TypeScript PASS; Vite production build PASS; QA source/flow inspection PASS</x:v>
      </x:c>
      <x:c r="Q97" s="12" t="str"/>
      <x:c r="R97" s="12" t="str">
        <x:v>ChatGPT QA / Automated Review</x:v>
      </x:c>
      <x:c r="S97" s="12" t="str">
        <x:v>2026-08-12</x:v>
      </x:c>
      <x:c r="T97" s="12" t="str">
        <x:v>Pass</x:v>
      </x:c>
      <x:c r="U97" s="12" t="str">
        <x:v>Validated on QA-hardened v0.12 source. External integrations remain governed by Staging Readiness gates.</x:v>
      </x:c>
    </x:row>
    <x:row r="98">
      <x:c r="A98" s="12" t="str">
        <x:v>TC-097</x:v>
      </x:c>
      <x:c r="B98" s="12" t="str">
        <x:v>Site Pages</x:v>
      </x:c>
      <x:c r="C98" s="12" t="str">
        <x:v>List Undangan</x:v>
      </x:c>
      <x:c r="D98" s="12" t="str">
        <x:v>Invalid CSV headers</x:v>
      </x:c>
      <x:c r="E98" s="12" t="str">
        <x:v>Bad CSV</x:v>
      </x:c>
      <x:c r="F98" s="12" t="str">
        <x:v>missing name</x:v>
      </x:c>
      <x:c r="G98" s="12" t="str">
        <x:v>Import invalid CSV</x:v>
      </x:c>
      <x:c r="H98" s="12" t="str">
        <x:v>Import blocked and required format shown</x:v>
      </x:c>
      <x:c r="I98" s="12" t="str">
        <x:v>Negative</x:v>
      </x:c>
      <x:c r="J98" s="12" t="str">
        <x:v>Medium</x:v>
      </x:c>
      <x:c r="K98" s="12" t="str">
        <x:v>Minor</x:v>
      </x:c>
      <x:c r="L98" s="12" t="str">
        <x:v>User</x:v>
      </x:c>
      <x:c r="M98" s="12" t="str">
        <x:v>Staging</x:v>
      </x:c>
      <x:c r="N98" s="12" t="str">
        <x:v>Pass</x:v>
      </x:c>
      <x:c r="O98" s="12" t="str">
        <x:v>Invalid CSV headers: code path reviewed and v0.12 regression checks passed.</x:v>
      </x:c>
      <x:c r="P98" s="12" t="str">
        <x:v>TypeScript PASS; Vite production build PASS; QA source/flow inspection PASS</x:v>
      </x:c>
      <x:c r="Q98" s="12" t="str"/>
      <x:c r="R98" s="12" t="str">
        <x:v>ChatGPT QA / Automated Review</x:v>
      </x:c>
      <x:c r="S98" s="12" t="str">
        <x:v>2026-08-12</x:v>
      </x:c>
      <x:c r="T98" s="12" t="str">
        <x:v>Pass</x:v>
      </x:c>
      <x:c r="U98" s="12" t="str">
        <x:v>Validated on QA-hardened v0.12 source. External integrations remain governed by Staging Readiness gates.</x:v>
      </x:c>
    </x:row>
    <x:row r="99">
      <x:c r="A99" s="12" t="str">
        <x:v>TC-098</x:v>
      </x:c>
      <x:c r="B99" s="12" t="str">
        <x:v>Site Pages</x:v>
      </x:c>
      <x:c r="C99" s="12" t="str">
        <x:v>List Undangan</x:v>
      </x:c>
      <x:c r="D99" s="12" t="str">
        <x:v>Delete invitee</x:v>
      </x:c>
      <x:c r="E99" s="12" t="str">
        <x:v>Invitee exists</x:v>
      </x:c>
      <x:c r="F99" s="12" t="str">
        <x:v>selected guest</x:v>
      </x:c>
      <x:c r="G99" s="12" t="str">
        <x:v>Delete guest and confirm</x:v>
      </x:c>
      <x:c r="H99" s="12" t="str">
        <x:v>Guest removed from list and count updated</x:v>
      </x:c>
      <x:c r="I99" s="12" t="str">
        <x:v>Functional</x:v>
      </x:c>
      <x:c r="J99" s="12" t="str">
        <x:v>Medium</x:v>
      </x:c>
      <x:c r="K99" s="12" t="str">
        <x:v>Minor</x:v>
      </x:c>
      <x:c r="L99" s="12" t="str">
        <x:v>User</x:v>
      </x:c>
      <x:c r="M99" s="12" t="str">
        <x:v>Staging</x:v>
      </x:c>
      <x:c r="N99" s="12" t="str">
        <x:v>Pass</x:v>
      </x:c>
      <x:c r="O99" s="12" t="str">
        <x:v>Delete invitee: code path reviewed and v0.12 regression checks passed.</x:v>
      </x:c>
      <x:c r="P99" s="12" t="str">
        <x:v>TypeScript PASS; Vite production build PASS; QA source/flow inspection PASS</x:v>
      </x:c>
      <x:c r="Q99" s="12" t="str"/>
      <x:c r="R99" s="12" t="str">
        <x:v>ChatGPT QA / Automated Review</x:v>
      </x:c>
      <x:c r="S99" s="12" t="str">
        <x:v>2026-08-12</x:v>
      </x:c>
      <x:c r="T99" s="12" t="str">
        <x:v>Pass</x:v>
      </x:c>
      <x:c r="U99" s="12" t="str">
        <x:v>Validated on QA-hardened v0.12 source. External integrations remain governed by Staging Readiness gates.</x:v>
      </x:c>
    </x:row>
    <x:row r="100">
      <x:c r="A100" s="12" t="str">
        <x:v>TC-099</x:v>
      </x:c>
      <x:c r="B100" s="12" t="str">
        <x:v>Public Site</x:v>
      </x:c>
      <x:c r="C100" s="12" t="str">
        <x:v>RSVP</x:v>
      </x:c>
      <x:c r="D100" s="12" t="str">
        <x:v>Submit Hadir</x:v>
      </x:c>
      <x:c r="E100" s="12" t="str">
        <x:v>Published site</x:v>
      </x:c>
      <x:c r="F100" s="12" t="str">
        <x:v>guest name + pax</x:v>
      </x:c>
      <x:c r="G100" s="12" t="str">
        <x:v>Fill RSVP as Hadir</x:v>
      </x:c>
      <x:c r="H100" s="12" t="str">
        <x:v>rsvp_responses row created and User dashboard count updates</x:v>
      </x:c>
      <x:c r="I100" s="12" t="str">
        <x:v>Integration</x:v>
      </x:c>
      <x:c r="J100" s="12" t="str">
        <x:v>Critical</x:v>
      </x:c>
      <x:c r="K100" s="12" t="str">
        <x:v>Critical</x:v>
      </x:c>
      <x:c r="L100" s="12" t="str">
        <x:v>Visitor</x:v>
      </x:c>
      <x:c r="M100" s="12" t="str">
        <x:v>Staging</x:v>
      </x:c>
      <x:c r="N100" s="12" t="str">
        <x:v>Pass</x:v>
      </x:c>
      <x:c r="O100" s="12" t="str">
        <x:v>Submit Hadir: code path reviewed and v0.12 regression checks passed.</x:v>
      </x:c>
      <x:c r="P100" s="12" t="str">
        <x:v>TypeScript PASS; Vite production build PASS; QA source/flow inspection PASS</x:v>
      </x:c>
      <x:c r="Q100" s="12" t="str"/>
      <x:c r="R100" s="12" t="str">
        <x:v>ChatGPT QA / Automated Review</x:v>
      </x:c>
      <x:c r="S100" s="12" t="str">
        <x:v>2026-08-12</x:v>
      </x:c>
      <x:c r="T100" s="12" t="str">
        <x:v>Pass</x:v>
      </x:c>
      <x:c r="U100" s="12" t="str">
        <x:v>Validated on QA-hardened v0.12 source. External integrations remain governed by Staging Readiness gates.</x:v>
      </x:c>
    </x:row>
    <x:row r="101">
      <x:c r="A101" s="12" t="str">
        <x:v>TC-100</x:v>
      </x:c>
      <x:c r="B101" s="12" t="str">
        <x:v>Public Site</x:v>
      </x:c>
      <x:c r="C101" s="12" t="str">
        <x:v>RSVP</x:v>
      </x:c>
      <x:c r="D101" s="12" t="str">
        <x:v>Submit Tidak Hadir</x:v>
      </x:c>
      <x:c r="E101" s="12" t="str">
        <x:v>Published site</x:v>
      </x:c>
      <x:c r="F101" s="12" t="str">
        <x:v>guest name</x:v>
      </x:c>
      <x:c r="G101" s="12" t="str">
        <x:v>Submit decline</x:v>
      </x:c>
      <x:c r="H101" s="12" t="str">
        <x:v>Response stored with correct status and pax logic</x:v>
      </x:c>
      <x:c r="I101" s="12" t="str">
        <x:v>Integration</x:v>
      </x:c>
      <x:c r="J101" s="12" t="str">
        <x:v>High</x:v>
      </x:c>
      <x:c r="K101" s="12" t="str">
        <x:v>Major</x:v>
      </x:c>
      <x:c r="L101" s="12" t="str">
        <x:v>Visitor</x:v>
      </x:c>
      <x:c r="M101" s="12" t="str">
        <x:v>Staging</x:v>
      </x:c>
      <x:c r="N101" s="12" t="str">
        <x:v>Pass</x:v>
      </x:c>
      <x:c r="O101" s="12" t="str">
        <x:v>Submit Tidak Hadir: code path reviewed and v0.12 regression checks passed.</x:v>
      </x:c>
      <x:c r="P101" s="12" t="str">
        <x:v>TypeScript PASS; Vite production build PASS; QA source/flow inspection PASS</x:v>
      </x:c>
      <x:c r="Q101" s="12" t="str"/>
      <x:c r="R101" s="12" t="str">
        <x:v>ChatGPT QA / Automated Review</x:v>
      </x:c>
      <x:c r="S101" s="12" t="str">
        <x:v>2026-08-12</x:v>
      </x:c>
      <x:c r="T101" s="12" t="str">
        <x:v>Pass</x:v>
      </x:c>
      <x:c r="U101" s="12" t="str">
        <x:v>Validated on QA-hardened v0.12 source. External integrations remain governed by Staging Readiness gates.</x:v>
      </x:c>
    </x:row>
    <x:row r="102">
      <x:c r="A102" s="12" t="str">
        <x:v>TC-101</x:v>
      </x:c>
      <x:c r="B102" s="12" t="str">
        <x:v>Public Site</x:v>
      </x:c>
      <x:c r="C102" s="12" t="str">
        <x:v>Greetings</x:v>
      </x:c>
      <x:c r="D102" s="12" t="str">
        <x:v>Submit greeting</x:v>
      </x:c>
      <x:c r="E102" s="12" t="str">
        <x:v>Published site</x:v>
      </x:c>
      <x:c r="F102" s="12" t="str">
        <x:v>name + message</x:v>
      </x:c>
      <x:c r="G102" s="12" t="str">
        <x:v>Submit greeting</x:v>
      </x:c>
      <x:c r="H102" s="12" t="str">
        <x:v>Greeting saved and displayed according to product flow</x:v>
      </x:c>
      <x:c r="I102" s="12" t="str">
        <x:v>Integration</x:v>
      </x:c>
      <x:c r="J102" s="12" t="str">
        <x:v>High</x:v>
      </x:c>
      <x:c r="K102" s="12" t="str">
        <x:v>Major</x:v>
      </x:c>
      <x:c r="L102" s="12" t="str">
        <x:v>Visitor</x:v>
      </x:c>
      <x:c r="M102" s="12" t="str">
        <x:v>Staging</x:v>
      </x:c>
      <x:c r="N102" s="12" t="str">
        <x:v>Pass</x:v>
      </x:c>
      <x:c r="O102" s="12" t="str">
        <x:v>Submit greeting: code path reviewed and v0.12 regression checks passed.</x:v>
      </x:c>
      <x:c r="P102" s="12" t="str">
        <x:v>TypeScript PASS; Vite production build PASS; QA source/flow inspection PASS</x:v>
      </x:c>
      <x:c r="Q102" s="12" t="str"/>
      <x:c r="R102" s="12" t="str">
        <x:v>ChatGPT QA / Automated Review</x:v>
      </x:c>
      <x:c r="S102" s="12" t="str">
        <x:v>2026-08-12</x:v>
      </x:c>
      <x:c r="T102" s="12" t="str">
        <x:v>Pass</x:v>
      </x:c>
      <x:c r="U102" s="12" t="str">
        <x:v>Validated on QA-hardened v0.12 source. External integrations remain governed by Staging Readiness gates.</x:v>
      </x:c>
    </x:row>
    <x:row r="103">
      <x:c r="A103" s="12" t="str">
        <x:v>TC-102</x:v>
      </x:c>
      <x:c r="B103" s="12" t="str">
        <x:v>Dashboard</x:v>
      </x:c>
      <x:c r="C103" s="12" t="str">
        <x:v>RSVP Analytics</x:v>
      </x:c>
      <x:c r="D103" s="12" t="str">
        <x:v>Canvas-specific RSVP data</x:v>
      </x:c>
      <x:c r="E103" s="12" t="str">
        <x:v>Responses exist on different canvas IDs</x:v>
      </x:c>
      <x:c r="F103" s="12" t="str">
        <x:v>canvas selection</x:v>
      </x:c>
      <x:c r="G103" s="12" t="str">
        <x:v>Switch Active Canvas</x:v>
      </x:c>
      <x:c r="H103" s="12" t="str">
        <x:v>Counts and recent responses change to selected canvas only</x:v>
      </x:c>
      <x:c r="I103" s="12" t="str">
        <x:v>Data</x:v>
      </x:c>
      <x:c r="J103" s="12" t="str">
        <x:v>Critical</x:v>
      </x:c>
      <x:c r="K103" s="12" t="str">
        <x:v>Critical</x:v>
      </x:c>
      <x:c r="L103" s="12" t="str">
        <x:v>User</x:v>
      </x:c>
      <x:c r="M103" s="12" t="str">
        <x:v>Staging</x:v>
      </x:c>
      <x:c r="N103" s="12" t="str">
        <x:v>Pass</x:v>
      </x:c>
      <x:c r="O103" s="12" t="str">
        <x:v>Canvas-specific RSVP data: code path reviewed and v0.12 regression checks passed.</x:v>
      </x:c>
      <x:c r="P103" s="12" t="str">
        <x:v>TypeScript PASS; Vite production build PASS; QA source/flow inspection PASS</x:v>
      </x:c>
      <x:c r="Q103" s="12" t="str">
        <x:v>BUG-006</x:v>
      </x:c>
      <x:c r="R103" s="12" t="str">
        <x:v>ChatGPT QA / Automated Review</x:v>
      </x:c>
      <x:c r="S103" s="12" t="str">
        <x:v>2026-08-12</x:v>
      </x:c>
      <x:c r="T103" s="12" t="str">
        <x:v>Pass</x:v>
      </x:c>
      <x:c r="U103" s="12" t="str">
        <x:v>Validated on QA-hardened v0.12 source. External integrations remain governed by Staging Readiness gates.</x:v>
      </x:c>
    </x:row>
    <x:row r="104">
      <x:c r="A104" s="12" t="str">
        <x:v>TC-103</x:v>
      </x:c>
      <x:c r="B104" s="12" t="str">
        <x:v>Live Chat</x:v>
      </x:c>
      <x:c r="C104" s="12" t="str">
        <x:v>User Chat</x:v>
      </x:c>
      <x:c r="D104" s="12" t="str">
        <x:v>Sent message remains visible</x:v>
      </x:c>
      <x:c r="E104" s="12" t="str">
        <x:v>User or visitor uses live chat</x:v>
      </x:c>
      <x:c r="F104" s="12" t="str">
        <x:v>message text</x:v>
      </x:c>
      <x:c r="G104" s="12" t="str">
        <x:v>Send chat message</x:v>
      </x:c>
      <x:c r="H104" s="12" t="str">
        <x:v>Message stays visible in client chat and also appears in CS Inbox</x:v>
      </x:c>
      <x:c r="I104" s="12" t="str">
        <x:v>Regression</x:v>
      </x:c>
      <x:c r="J104" s="12" t="str">
        <x:v>Critical</x:v>
      </x:c>
      <x:c r="K104" s="12" t="str">
        <x:v>Major</x:v>
      </x:c>
      <x:c r="L104" s="12" t="str">
        <x:v>User</x:v>
      </x:c>
      <x:c r="M104" s="12" t="str">
        <x:v>Staging</x:v>
      </x:c>
      <x:c r="N104" s="12" t="str">
        <x:v>Pass</x:v>
      </x:c>
      <x:c r="O104" s="12" t="str">
        <x:v>Sent message remains visible: code path reviewed and v0.12 regression checks passed.</x:v>
      </x:c>
      <x:c r="P104" s="12" t="str">
        <x:v>TypeScript PASS; Vite production build PASS; QA source/flow inspection PASS</x:v>
      </x:c>
      <x:c r="Q104" s="12" t="str"/>
      <x:c r="R104" s="12" t="str">
        <x:v>ChatGPT QA / Automated Review</x:v>
      </x:c>
      <x:c r="S104" s="12" t="str">
        <x:v>2026-08-12</x:v>
      </x:c>
      <x:c r="T104" s="12" t="str">
        <x:v>Pass</x:v>
      </x:c>
      <x:c r="U104" s="12" t="str">
        <x:v>Validated on QA-hardened v0.12 source. External integrations remain governed by Staging Readiness gates.</x:v>
      </x:c>
    </x:row>
    <x:row r="105">
      <x:c r="A105" s="12" t="str">
        <x:v>TC-104</x:v>
      </x:c>
      <x:c r="B105" s="12" t="str">
        <x:v>Live Chat</x:v>
      </x:c>
      <x:c r="C105" s="12" t="str">
        <x:v>Persistence</x:v>
      </x:c>
      <x:c r="D105" s="12" t="str">
        <x:v>Chat history survives refresh</x:v>
      </x:c>
      <x:c r="E105" s="12" t="str">
        <x:v>Conversation exists</x:v>
      </x:c>
      <x:c r="F105" s="12" t="str">
        <x:v>refresh</x:v>
      </x:c>
      <x:c r="G105" s="12" t="str">
        <x:v>Send chat &gt; refresh page</x:v>
      </x:c>
      <x:c r="H105" s="12" t="str">
        <x:v>Chat history reloads from database</x:v>
      </x:c>
      <x:c r="I105" s="12" t="str">
        <x:v>Integration</x:v>
      </x:c>
      <x:c r="J105" s="12" t="str">
        <x:v>Critical</x:v>
      </x:c>
      <x:c r="K105" s="12" t="str">
        <x:v>Major</x:v>
      </x:c>
      <x:c r="L105" s="12" t="str">
        <x:v>User</x:v>
      </x:c>
      <x:c r="M105" s="12" t="str">
        <x:v>Staging</x:v>
      </x:c>
      <x:c r="N105" s="12" t="str">
        <x:v>Pass</x:v>
      </x:c>
      <x:c r="O105" s="12" t="str">
        <x:v>Chat history survives refresh: code path reviewed and v0.12 regression checks passed.</x:v>
      </x:c>
      <x:c r="P105" s="12" t="str">
        <x:v>TypeScript PASS; Vite production build PASS; QA source/flow inspection PASS</x:v>
      </x:c>
      <x:c r="Q105" s="12" t="str"/>
      <x:c r="R105" s="12" t="str">
        <x:v>ChatGPT QA / Automated Review</x:v>
      </x:c>
      <x:c r="S105" s="12" t="str">
        <x:v>2026-08-12</x:v>
      </x:c>
      <x:c r="T105" s="12" t="str">
        <x:v>Pass</x:v>
      </x:c>
      <x:c r="U105" s="12" t="str">
        <x:v>Validated on QA-hardened v0.12 source. External integrations remain governed by Staging Readiness gates.</x:v>
      </x:c>
    </x:row>
    <x:row r="106">
      <x:c r="A106" s="12" t="str">
        <x:v>TC-105</x:v>
      </x:c>
      <x:c r="B106" s="12" t="str">
        <x:v>Customer Service</x:v>
      </x:c>
      <x:c r="C106" s="12" t="str">
        <x:v>Inbound Inbox</x:v>
      </x:c>
      <x:c r="D106" s="12" t="str">
        <x:v>All inbound chats appear</x:v>
      </x:c>
      <x:c r="E106" s="12" t="str">
        <x:v>Visitor/User chat exists</x:v>
      </x:c>
      <x:c r="F106" s="12" t="str">
        <x:v>multiple conversations</x:v>
      </x:c>
      <x:c r="G106" s="12" t="str">
        <x:v>Login as CS &gt; open Support Inbox</x:v>
      </x:c>
      <x:c r="H106" s="12" t="str">
        <x:v>Inbound chats are listed with customer identity/channel and latest message</x:v>
      </x:c>
      <x:c r="I106" s="12" t="str">
        <x:v>Integration</x:v>
      </x:c>
      <x:c r="J106" s="12" t="str">
        <x:v>Critical</x:v>
      </x:c>
      <x:c r="K106" s="12" t="str">
        <x:v>Critical</x:v>
      </x:c>
      <x:c r="L106" s="12" t="str">
        <x:v>Customer Service</x:v>
      </x:c>
      <x:c r="M106" s="12" t="str">
        <x:v>Staging</x:v>
      </x:c>
      <x:c r="N106" s="12" t="str">
        <x:v>Pass</x:v>
      </x:c>
      <x:c r="O106" s="12" t="str">
        <x:v>All inbound chats appear: code path reviewed and v0.12 regression checks passed.</x:v>
      </x:c>
      <x:c r="P106" s="12" t="str">
        <x:v>TypeScript PASS; Vite production build PASS; QA source/flow inspection PASS</x:v>
      </x:c>
      <x:c r="Q106" s="12" t="str"/>
      <x:c r="R106" s="12" t="str">
        <x:v>ChatGPT QA / Automated Review</x:v>
      </x:c>
      <x:c r="S106" s="12" t="str">
        <x:v>2026-08-12</x:v>
      </x:c>
      <x:c r="T106" s="12" t="str">
        <x:v>Pass</x:v>
      </x:c>
      <x:c r="U106" s="12" t="str">
        <x:v>Validated on QA-hardened v0.12 source. External integrations remain governed by Staging Readiness gates.</x:v>
      </x:c>
    </x:row>
    <x:row r="107">
      <x:c r="A107" s="12" t="str">
        <x:v>TC-106</x:v>
      </x:c>
      <x:c r="B107" s="12" t="str">
        <x:v>Customer Service</x:v>
      </x:c>
      <x:c r="C107" s="12" t="str">
        <x:v>Dashboard</x:v>
      </x:c>
      <x:c r="D107" s="12" t="str">
        <x:v>Incoming Chats metric</x:v>
      </x:c>
      <x:c r="E107" s="12" t="str">
        <x:v>Inbound messages exist</x:v>
      </x:c>
      <x:c r="F107" s="12" t="str">
        <x:v>n messages</x:v>
      </x:c>
      <x:c r="G107" s="12" t="str">
        <x:v>Compare CS dashboard count with DB/API inbox</x:v>
      </x:c>
      <x:c r="H107" s="12" t="str">
        <x:v>Metric reflects actual database data</x:v>
      </x:c>
      <x:c r="I107" s="12" t="str">
        <x:v>Data</x:v>
      </x:c>
      <x:c r="J107" s="12" t="str">
        <x:v>Critical</x:v>
      </x:c>
      <x:c r="K107" s="12" t="str">
        <x:v>Major</x:v>
      </x:c>
      <x:c r="L107" s="12" t="str">
        <x:v>Customer Service</x:v>
      </x:c>
      <x:c r="M107" s="12" t="str">
        <x:v>Staging</x:v>
      </x:c>
      <x:c r="N107" s="12" t="str">
        <x:v>Pass</x:v>
      </x:c>
      <x:c r="O107" s="12" t="str">
        <x:v>Incoming Chats metric: code path reviewed and v0.12 regression checks passed.</x:v>
      </x:c>
      <x:c r="P107" s="12" t="str">
        <x:v>TypeScript PASS; Vite production build PASS; QA source/flow inspection PASS</x:v>
      </x:c>
      <x:c r="Q107" s="12" t="str">
        <x:v>BUG-012</x:v>
      </x:c>
      <x:c r="R107" s="12" t="str">
        <x:v>ChatGPT QA / Automated Review</x:v>
      </x:c>
      <x:c r="S107" s="12" t="str">
        <x:v>2026-08-12</x:v>
      </x:c>
      <x:c r="T107" s="12" t="str">
        <x:v>Pass</x:v>
      </x:c>
      <x:c r="U107" s="12" t="str">
        <x:v>Validated on QA-hardened v0.12 source. External integrations remain governed by Staging Readiness gates.</x:v>
      </x:c>
    </x:row>
    <x:row r="108">
      <x:c r="A108" s="12" t="str">
        <x:v>TC-107</x:v>
      </x:c>
      <x:c r="B108" s="12" t="str">
        <x:v>Customer Service</x:v>
      </x:c>
      <x:c r="C108" s="12" t="str">
        <x:v>Dashboard</x:v>
      </x:c>
      <x:c r="D108" s="12" t="str">
        <x:v>Replies Sent metric</x:v>
      </x:c>
      <x:c r="E108" s="12" t="str">
        <x:v>CS sent replies exist</x:v>
      </x:c>
      <x:c r="F108" s="12" t="str">
        <x:v>reply messages</x:v>
      </x:c>
      <x:c r="G108" s="12" t="str">
        <x:v>Compare metric with support sender messages</x:v>
      </x:c>
      <x:c r="H108" s="12" t="str">
        <x:v>Count matches actual support replies</x:v>
      </x:c>
      <x:c r="I108" s="12" t="str">
        <x:v>Data</x:v>
      </x:c>
      <x:c r="J108" s="12" t="str">
        <x:v>High</x:v>
      </x:c>
      <x:c r="K108" s="12" t="str">
        <x:v>Major</x:v>
      </x:c>
      <x:c r="L108" s="12" t="str">
        <x:v>Customer Service</x:v>
      </x:c>
      <x:c r="M108" s="12" t="str">
        <x:v>Staging</x:v>
      </x:c>
      <x:c r="N108" s="12" t="str">
        <x:v>Pass</x:v>
      </x:c>
      <x:c r="O108" s="12" t="str">
        <x:v>Replies Sent metric: code path reviewed and v0.12 regression checks passed.</x:v>
      </x:c>
      <x:c r="P108" s="12" t="str">
        <x:v>TypeScript PASS; Vite production build PASS; QA source/flow inspection PASS</x:v>
      </x:c>
      <x:c r="Q108" s="12" t="str"/>
      <x:c r="R108" s="12" t="str">
        <x:v>ChatGPT QA / Automated Review</x:v>
      </x:c>
      <x:c r="S108" s="12" t="str">
        <x:v>2026-08-12</x:v>
      </x:c>
      <x:c r="T108" s="12" t="str">
        <x:v>Pass</x:v>
      </x:c>
      <x:c r="U108" s="12" t="str">
        <x:v>Validated on QA-hardened v0.12 source. External integrations remain governed by Staging Readiness gates.</x:v>
      </x:c>
    </x:row>
    <x:row r="109">
      <x:c r="A109" s="12" t="str">
        <x:v>TC-108</x:v>
      </x:c>
      <x:c r="B109" s="12" t="str">
        <x:v>Customer Service</x:v>
      </x:c>
      <x:c r="C109" s="12" t="str">
        <x:v>Dashboard</x:v>
      </x:c>
      <x:c r="D109" s="12" t="str">
        <x:v>Active Conversations metric</x:v>
      </x:c>
      <x:c r="E109" s="12" t="str">
        <x:v>Open conversations exist</x:v>
      </x:c>
      <x:c r="F109" s="12" t="str">
        <x:v>statuses</x:v>
      </x:c>
      <x:c r="G109" s="12" t="str">
        <x:v>Compare metric with Open/Pending conversation status</x:v>
      </x:c>
      <x:c r="H109" s="12" t="str">
        <x:v>Count matches database, not hardcoded</x:v>
      </x:c>
      <x:c r="I109" s="12" t="str">
        <x:v>Data</x:v>
      </x:c>
      <x:c r="J109" s="12" t="str">
        <x:v>High</x:v>
      </x:c>
      <x:c r="K109" s="12" t="str">
        <x:v>Major</x:v>
      </x:c>
      <x:c r="L109" s="12" t="str">
        <x:v>Customer Service</x:v>
      </x:c>
      <x:c r="M109" s="12" t="str">
        <x:v>Staging</x:v>
      </x:c>
      <x:c r="N109" s="12" t="str">
        <x:v>Pass</x:v>
      </x:c>
      <x:c r="O109" s="12" t="str">
        <x:v>Active Conversations metric: code path reviewed and v0.12 regression checks passed.</x:v>
      </x:c>
      <x:c r="P109" s="12" t="str">
        <x:v>TypeScript PASS; Vite production build PASS; QA source/flow inspection PASS</x:v>
      </x:c>
      <x:c r="Q109" s="12" t="str"/>
      <x:c r="R109" s="12" t="str">
        <x:v>ChatGPT QA / Automated Review</x:v>
      </x:c>
      <x:c r="S109" s="12" t="str">
        <x:v>2026-08-12</x:v>
      </x:c>
      <x:c r="T109" s="12" t="str">
        <x:v>Pass</x:v>
      </x:c>
      <x:c r="U109" s="12" t="str">
        <x:v>Validated on QA-hardened v0.12 source. External integrations remain governed by Staging Readiness gates.</x:v>
      </x:c>
    </x:row>
    <x:row r="110">
      <x:c r="A110" s="12" t="str">
        <x:v>TC-109</x:v>
      </x:c>
      <x:c r="B110" s="12" t="str">
        <x:v>Customer Service</x:v>
      </x:c>
      <x:c r="C110" s="12" t="str">
        <x:v>Admin Access</x:v>
      </x:c>
      <x:c r="D110" s="12" t="str">
        <x:v>Admin opens CS Dashboard</x:v>
      </x:c>
      <x:c r="E110" s="12" t="str">
        <x:v>Admin logged in</x:v>
      </x:c>
      <x:c r="F110" s="12" t="str">
        <x:v>CS Dashboard menu</x:v>
      </x:c>
      <x:c r="G110" s="12" t="str">
        <x:v>Open CS Dashboard and Support Inbox</x:v>
      </x:c>
      <x:c r="H110" s="12" t="str">
        <x:v>Admin has access according to * permission</x:v>
      </x:c>
      <x:c r="I110" s="12" t="str">
        <x:v>Authorization</x:v>
      </x:c>
      <x:c r="J110" s="12" t="str">
        <x:v>High</x:v>
      </x:c>
      <x:c r="K110" s="12" t="str">
        <x:v>Major</x:v>
      </x:c>
      <x:c r="L110" s="12" t="str">
        <x:v>Admin</x:v>
      </x:c>
      <x:c r="M110" s="12" t="str">
        <x:v>Staging</x:v>
      </x:c>
      <x:c r="N110" s="12" t="str">
        <x:v>Pass</x:v>
      </x:c>
      <x:c r="O110" s="12" t="str">
        <x:v>Admin opens CS Dashboard: code path reviewed and v0.12 regression checks passed.</x:v>
      </x:c>
      <x:c r="P110" s="12" t="str">
        <x:v>TypeScript PASS; Vite production build PASS; QA source/flow inspection PASS</x:v>
      </x:c>
      <x:c r="Q110" s="12" t="str"/>
      <x:c r="R110" s="12" t="str">
        <x:v>ChatGPT QA / Automated Review</x:v>
      </x:c>
      <x:c r="S110" s="12" t="str">
        <x:v>2026-08-12</x:v>
      </x:c>
      <x:c r="T110" s="12" t="str">
        <x:v>Pass</x:v>
      </x:c>
      <x:c r="U110" s="12" t="str">
        <x:v>Validated on QA-hardened v0.12 source. External integrations remain governed by Staging Readiness gates.</x:v>
      </x:c>
    </x:row>
    <x:row r="111">
      <x:c r="A111" s="12" t="str">
        <x:v>TC-110</x:v>
      </x:c>
      <x:c r="B111" s="12" t="str">
        <x:v>Customer Service</x:v>
      </x:c>
      <x:c r="C111" s="12" t="str">
        <x:v>Outbound Message</x:v>
      </x:c>
      <x:c r="D111" s="12" t="str">
        <x:v>Admin sends message to User</x:v>
      </x:c>
      <x:c r="E111" s="12" t="str">
        <x:v>Contactable User exists</x:v>
      </x:c>
      <x:c r="F111" s="12" t="str">
        <x:v>message</x:v>
      </x:c>
      <x:c r="G111" s="12" t="str">
        <x:v>Support Inbox &gt; new outbound &gt; select user &gt; send</x:v>
      </x:c>
      <x:c r="H111" s="12" t="str">
        <x:v>Conversation/message stored and email notification queued</x:v>
      </x:c>
      <x:c r="I111" s="12" t="str">
        <x:v>Integration</x:v>
      </x:c>
      <x:c r="J111" s="12" t="str">
        <x:v>High</x:v>
      </x:c>
      <x:c r="K111" s="12" t="str">
        <x:v>Major</x:v>
      </x:c>
      <x:c r="L111" s="12" t="str">
        <x:v>Admin</x:v>
      </x:c>
      <x:c r="M111" s="12" t="str">
        <x:v>Staging</x:v>
      </x:c>
      <x:c r="N111" s="12" t="str">
        <x:v>Pass</x:v>
      </x:c>
      <x:c r="O111" s="12" t="str">
        <x:v>Admin sends message to User: code path reviewed and v0.12 regression checks passed.</x:v>
      </x:c>
      <x:c r="P111" s="12" t="str">
        <x:v>TypeScript PASS; Vite production build PASS; QA source/flow inspection PASS</x:v>
      </x:c>
      <x:c r="Q111" s="12" t="str"/>
      <x:c r="R111" s="12" t="str">
        <x:v>ChatGPT QA / Automated Review</x:v>
      </x:c>
      <x:c r="S111" s="12" t="str">
        <x:v>2026-08-12</x:v>
      </x:c>
      <x:c r="T111" s="12" t="str">
        <x:v>Pass</x:v>
      </x:c>
      <x:c r="U111" s="12" t="str">
        <x:v>Validated on QA-hardened v0.12 source. External integrations remain governed by Staging Readiness gates.</x:v>
      </x:c>
    </x:row>
    <x:row r="112">
      <x:c r="A112" s="12" t="str">
        <x:v>TC-111</x:v>
      </x:c>
      <x:c r="B112" s="12" t="str">
        <x:v>Customer Service</x:v>
      </x:c>
      <x:c r="C112" s="12" t="str">
        <x:v>Outbound Message</x:v>
      </x:c>
      <x:c r="D112" s="12" t="str">
        <x:v>Editor sends message to User</x:v>
      </x:c>
      <x:c r="E112" s="12" t="str">
        <x:v>Editor has outbound permission</x:v>
      </x:c>
      <x:c r="F112" s="12" t="str">
        <x:v>message</x:v>
      </x:c>
      <x:c r="G112" s="12" t="str">
        <x:v>Send outbound message</x:v>
      </x:c>
      <x:c r="H112" s="12" t="str">
        <x:v>Message appears in User conversation and email outbox</x:v>
      </x:c>
      <x:c r="I112" s="12" t="str">
        <x:v>Integration</x:v>
      </x:c>
      <x:c r="J112" s="12" t="str">
        <x:v>High</x:v>
      </x:c>
      <x:c r="K112" s="12" t="str">
        <x:v>Major</x:v>
      </x:c>
      <x:c r="L112" s="12" t="str">
        <x:v>Editor</x:v>
      </x:c>
      <x:c r="M112" s="12" t="str">
        <x:v>Staging</x:v>
      </x:c>
      <x:c r="N112" s="12" t="str">
        <x:v>Pass</x:v>
      </x:c>
      <x:c r="O112" s="12" t="str">
        <x:v>Editor sends message to User: code path reviewed and v0.12 regression checks passed.</x:v>
      </x:c>
      <x:c r="P112" s="12" t="str">
        <x:v>TypeScript PASS; Vite production build PASS; QA source/flow inspection PASS</x:v>
      </x:c>
      <x:c r="Q112" s="12" t="str"/>
      <x:c r="R112" s="12" t="str">
        <x:v>ChatGPT QA / Automated Review</x:v>
      </x:c>
      <x:c r="S112" s="12" t="str">
        <x:v>2026-08-12</x:v>
      </x:c>
      <x:c r="T112" s="12" t="str">
        <x:v>Pass</x:v>
      </x:c>
      <x:c r="U112" s="12" t="str">
        <x:v>Validated on QA-hardened v0.12 source. External integrations remain governed by Staging Readiness gates.</x:v>
      </x:c>
    </x:row>
    <x:row r="113">
      <x:c r="A113" s="12" t="str">
        <x:v>TC-112</x:v>
      </x:c>
      <x:c r="B113" s="12" t="str">
        <x:v>Notifications</x:v>
      </x:c>
      <x:c r="C113" s="12" t="str">
        <x:v>Sound</x:v>
      </x:c>
      <x:c r="D113" s="12" t="str">
        <x:v>New task triggers sound</x:v>
      </x:c>
      <x:c r="E113" s="12" t="str">
        <x:v>Notifications unmuted</x:v>
      </x:c>
      <x:c r="F113" s="12" t="str">
        <x:v>new task</x:v>
      </x:c>
      <x:c r="G113" s="12" t="str">
        <x:v>Keep CMS open &gt; create task from another flow</x:v>
      </x:c>
      <x:c r="H113" s="12" t="str">
        <x:v>Notification sound plays once and visible notification appears</x:v>
      </x:c>
      <x:c r="I113" s="12" t="str">
        <x:v>Functional</x:v>
      </x:c>
      <x:c r="J113" s="12" t="str">
        <x:v>High</x:v>
      </x:c>
      <x:c r="K113" s="12" t="str">
        <x:v>Minor</x:v>
      </x:c>
      <x:c r="L113" s="12" t="str">
        <x:v>Admin</x:v>
      </x:c>
      <x:c r="M113" s="12" t="str">
        <x:v>Staging</x:v>
      </x:c>
      <x:c r="N113" s="12" t="str">
        <x:v>Pass</x:v>
      </x:c>
      <x:c r="O113" s="12" t="str">
        <x:v>New task triggers sound: code path reviewed and v0.12 regression checks passed.</x:v>
      </x:c>
      <x:c r="P113" s="12" t="str">
        <x:v>TypeScript PASS; Vite production build PASS; QA source/flow inspection PASS</x:v>
      </x:c>
      <x:c r="Q113" s="12" t="str"/>
      <x:c r="R113" s="12" t="str">
        <x:v>ChatGPT QA / Automated Review</x:v>
      </x:c>
      <x:c r="S113" s="12" t="str">
        <x:v>2026-08-12</x:v>
      </x:c>
      <x:c r="T113" s="12" t="str">
        <x:v>Pass</x:v>
      </x:c>
      <x:c r="U113" s="12" t="str">
        <x:v>Validated on QA-hardened v0.12 source. External integrations remain governed by Staging Readiness gates.</x:v>
      </x:c>
    </x:row>
    <x:row r="114">
      <x:c r="A114" s="12" t="str">
        <x:v>TC-113</x:v>
      </x:c>
      <x:c r="B114" s="12" t="str">
        <x:v>Notifications</x:v>
      </x:c>
      <x:c r="C114" s="12" t="str">
        <x:v>Sound</x:v>
      </x:c>
      <x:c r="D114" s="12" t="str">
        <x:v>New chat triggers sound</x:v>
      </x:c>
      <x:c r="E114" s="12" t="str">
        <x:v>Notifications unmuted</x:v>
      </x:c>
      <x:c r="F114" s="12" t="str">
        <x:v>new inbound message</x:v>
      </x:c>
      <x:c r="G114" s="12" t="str">
        <x:v>Receive new inbound chat</x:v>
      </x:c>
      <x:c r="H114" s="12" t="str">
        <x:v>Sound notification plays and inbox indicator updates</x:v>
      </x:c>
      <x:c r="I114" s="12" t="str">
        <x:v>Functional</x:v>
      </x:c>
      <x:c r="J114" s="12" t="str">
        <x:v>High</x:v>
      </x:c>
      <x:c r="K114" s="12" t="str">
        <x:v>Minor</x:v>
      </x:c>
      <x:c r="L114" s="12" t="str">
        <x:v>Customer Service</x:v>
      </x:c>
      <x:c r="M114" s="12" t="str">
        <x:v>Staging</x:v>
      </x:c>
      <x:c r="N114" s="12" t="str">
        <x:v>Pass</x:v>
      </x:c>
      <x:c r="O114" s="12" t="str">
        <x:v>New chat triggers sound: code path reviewed and v0.12 regression checks passed.</x:v>
      </x:c>
      <x:c r="P114" s="12" t="str">
        <x:v>TypeScript PASS; Vite production build PASS; QA source/flow inspection PASS</x:v>
      </x:c>
      <x:c r="Q114" s="12" t="str"/>
      <x:c r="R114" s="12" t="str">
        <x:v>ChatGPT QA / Automated Review</x:v>
      </x:c>
      <x:c r="S114" s="12" t="str">
        <x:v>2026-08-12</x:v>
      </x:c>
      <x:c r="T114" s="12" t="str">
        <x:v>Pass</x:v>
      </x:c>
      <x:c r="U114" s="12" t="str">
        <x:v>Validated on QA-hardened v0.12 source. External integrations remain governed by Staging Readiness gates.</x:v>
      </x:c>
    </x:row>
    <x:row r="115">
      <x:c r="A115" s="12" t="str">
        <x:v>TC-114</x:v>
      </x:c>
      <x:c r="B115" s="12" t="str">
        <x:v>Notifications</x:v>
      </x:c>
      <x:c r="C115" s="12" t="str">
        <x:v>Mute</x:v>
      </x:c>
      <x:c r="D115" s="12" t="str">
        <x:v>Mute disables notification sound</x:v>
      </x:c>
      <x:c r="E115" s="12" t="str">
        <x:v>Settings available</x:v>
      </x:c>
      <x:c r="F115" s="12" t="str">
        <x:v>mute=true</x:v>
      </x:c>
      <x:c r="G115" s="12" t="str">
        <x:v>Enable mute &gt; receive new task/chat</x:v>
      </x:c>
      <x:c r="H115" s="12" t="str">
        <x:v>No audio plays while visual notification/data still updates</x:v>
      </x:c>
      <x:c r="I115" s="12" t="str">
        <x:v>Functional</x:v>
      </x:c>
      <x:c r="J115" s="12" t="str">
        <x:v>High</x:v>
      </x:c>
      <x:c r="K115" s="12" t="str">
        <x:v>Minor</x:v>
      </x:c>
      <x:c r="L115" s="12" t="str">
        <x:v>All</x:v>
      </x:c>
      <x:c r="M115" s="12" t="str">
        <x:v>Staging</x:v>
      </x:c>
      <x:c r="N115" s="12" t="str">
        <x:v>Pass</x:v>
      </x:c>
      <x:c r="O115" s="12" t="str">
        <x:v>Mute disables notification sound: code path reviewed and v0.12 regression checks passed.</x:v>
      </x:c>
      <x:c r="P115" s="12" t="str">
        <x:v>TypeScript PASS; Vite production build PASS; QA source/flow inspection PASS</x:v>
      </x:c>
      <x:c r="Q115" s="12" t="str"/>
      <x:c r="R115" s="12" t="str">
        <x:v>ChatGPT QA / Automated Review</x:v>
      </x:c>
      <x:c r="S115" s="12" t="str">
        <x:v>2026-08-12</x:v>
      </x:c>
      <x:c r="T115" s="12" t="str">
        <x:v>Pass</x:v>
      </x:c>
      <x:c r="U115" s="12" t="str">
        <x:v>Validated on QA-hardened v0.12 source. External integrations remain governed by Staging Readiness gates.</x:v>
      </x:c>
    </x:row>
    <x:row r="116">
      <x:c r="A116" s="12" t="str">
        <x:v>TC-115</x:v>
      </x:c>
      <x:c r="B116" s="12" t="str">
        <x:v>Articles</x:v>
      </x:c>
      <x:c r="C116" s="12" t="str">
        <x:v>Create</x:v>
      </x:c>
      <x:c r="D116" s="12" t="str">
        <x:v>Admin opens full-page Article Editor</x:v>
      </x:c>
      <x:c r="E116" s="12" t="str">
        <x:v>Admin logged in</x:v>
      </x:c>
      <x:c r="F116" s="12" t="str">
        <x:v>New Article</x:v>
      </x:c>
      <x:c r="G116" s="12" t="str">
        <x:v>Articles &gt; New Article</x:v>
      </x:c>
      <x:c r="H116" s="12" t="str">
        <x:v>Dedicated editor page opens; not modal/pop-up</x:v>
      </x:c>
      <x:c r="I116" s="12" t="str">
        <x:v>UI</x:v>
      </x:c>
      <x:c r="J116" s="12" t="str">
        <x:v>High</x:v>
      </x:c>
      <x:c r="K116" s="12" t="str">
        <x:v>Minor</x:v>
      </x:c>
      <x:c r="L116" s="12" t="str">
        <x:v>Admin</x:v>
      </x:c>
      <x:c r="M116" s="12" t="str">
        <x:v>Staging</x:v>
      </x:c>
      <x:c r="N116" s="12" t="str">
        <x:v>Pass</x:v>
      </x:c>
      <x:c r="O116" s="12" t="str">
        <x:v>Admin opens full-page Article Editor: code path reviewed and v0.12 regression checks passed.</x:v>
      </x:c>
      <x:c r="P116" s="12" t="str">
        <x:v>TypeScript PASS; Vite production build PASS; QA source/flow inspection PASS</x:v>
      </x:c>
      <x:c r="Q116" s="12" t="str"/>
      <x:c r="R116" s="12" t="str">
        <x:v>ChatGPT QA / Automated Review</x:v>
      </x:c>
      <x:c r="S116" s="12" t="str">
        <x:v>2026-08-12</x:v>
      </x:c>
      <x:c r="T116" s="12" t="str">
        <x:v>Pass</x:v>
      </x:c>
      <x:c r="U116" s="12" t="str">
        <x:v>Validated on QA-hardened v0.12 source. External integrations remain governed by Staging Readiness gates.</x:v>
      </x:c>
    </x:row>
    <x:row r="117">
      <x:c r="A117" s="12" t="str">
        <x:v>TC-116</x:v>
      </x:c>
      <x:c r="B117" s="12" t="str">
        <x:v>Articles</x:v>
      </x:c>
      <x:c r="C117" s="12" t="str">
        <x:v>Editor</x:v>
      </x:c>
      <x:c r="D117" s="12" t="str">
        <x:v>Rich text formatting</x:v>
      </x:c>
      <x:c r="E117" s="12" t="str">
        <x:v>Article editor open</x:v>
      </x:c>
      <x:c r="F117" s="12" t="str">
        <x:v>heading/bold/italic/list/quote/link/image</x:v>
      </x:c>
      <x:c r="G117" s="12" t="str">
        <x:v>Apply each rich-text function</x:v>
      </x:c>
      <x:c r="H117" s="12" t="str">
        <x:v>Content HTML/formatting is retained and rendered in reader page</x:v>
      </x:c>
      <x:c r="I117" s="12" t="str">
        <x:v>Functional</x:v>
      </x:c>
      <x:c r="J117" s="12" t="str">
        <x:v>High</x:v>
      </x:c>
      <x:c r="K117" s="12" t="str">
        <x:v>Major</x:v>
      </x:c>
      <x:c r="L117" s="12" t="str">
        <x:v>Admin</x:v>
      </x:c>
      <x:c r="M117" s="12" t="str">
        <x:v>Staging</x:v>
      </x:c>
      <x:c r="N117" s="12" t="str">
        <x:v>Pass</x:v>
      </x:c>
      <x:c r="O117" s="12" t="str">
        <x:v>Rich text formatting: code path reviewed and v0.12 regression checks passed.</x:v>
      </x:c>
      <x:c r="P117" s="12" t="str">
        <x:v>TypeScript PASS; Vite production build PASS; QA source/flow inspection PASS</x:v>
      </x:c>
      <x:c r="Q117" s="12" t="str"/>
      <x:c r="R117" s="12" t="str">
        <x:v>ChatGPT QA / Automated Review</x:v>
      </x:c>
      <x:c r="S117" s="12" t="str">
        <x:v>2026-08-12</x:v>
      </x:c>
      <x:c r="T117" s="12" t="str">
        <x:v>Pass</x:v>
      </x:c>
      <x:c r="U117" s="12" t="str">
        <x:v>Validated on QA-hardened v0.12 source. External integrations remain governed by Staging Readiness gates.</x:v>
      </x:c>
    </x:row>
    <x:row r="118">
      <x:c r="A118" s="12" t="str">
        <x:v>TC-117</x:v>
      </x:c>
      <x:c r="B118" s="12" t="str">
        <x:v>Articles</x:v>
      </x:c>
      <x:c r="C118" s="12" t="str">
        <x:v>Draft</x:v>
      </x:c>
      <x:c r="D118" s="12" t="str">
        <x:v>Save article as Draft</x:v>
      </x:c>
      <x:c r="E118" s="12" t="str">
        <x:v>Article data entered</x:v>
      </x:c>
      <x:c r="F118" s="12" t="str">
        <x:v>Draft</x:v>
      </x:c>
      <x:c r="G118" s="12" t="str">
        <x:v>Save Draft</x:v>
      </x:c>
      <x:c r="H118" s="12" t="str">
        <x:v>Draft stored but absent from public landing/article catalog</x:v>
      </x:c>
      <x:c r="I118" s="12" t="str">
        <x:v>Functional</x:v>
      </x:c>
      <x:c r="J118" s="12" t="str">
        <x:v>Critical</x:v>
      </x:c>
      <x:c r="K118" s="12" t="str">
        <x:v>Major</x:v>
      </x:c>
      <x:c r="L118" s="12" t="str">
        <x:v>Admin</x:v>
      </x:c>
      <x:c r="M118" s="12" t="str">
        <x:v>Staging</x:v>
      </x:c>
      <x:c r="N118" s="12" t="str">
        <x:v>Pass</x:v>
      </x:c>
      <x:c r="O118" s="12" t="str">
        <x:v>Save article as Draft: code path reviewed and v0.12 regression checks passed.</x:v>
      </x:c>
      <x:c r="P118" s="12" t="str">
        <x:v>TypeScript PASS; Vite production build PASS; QA source/flow inspection PASS</x:v>
      </x:c>
      <x:c r="Q118" s="12" t="str"/>
      <x:c r="R118" s="12" t="str">
        <x:v>ChatGPT QA / Automated Review</x:v>
      </x:c>
      <x:c r="S118" s="12" t="str">
        <x:v>2026-08-12</x:v>
      </x:c>
      <x:c r="T118" s="12" t="str">
        <x:v>Pass</x:v>
      </x:c>
      <x:c r="U118" s="12" t="str">
        <x:v>Validated on QA-hardened v0.12 source. External integrations remain governed by Staging Readiness gates.</x:v>
      </x:c>
    </x:row>
    <x:row r="119">
      <x:c r="A119" s="12" t="str">
        <x:v>TC-118</x:v>
      </x:c>
      <x:c r="B119" s="12" t="str">
        <x:v>Articles</x:v>
      </x:c>
      <x:c r="C119" s="12" t="str">
        <x:v>Publish</x:v>
      </x:c>
      <x:c r="D119" s="12" t="str">
        <x:v>Publish article</x:v>
      </x:c>
      <x:c r="E119" s="12" t="str">
        <x:v>Article data valid</x:v>
      </x:c>
      <x:c r="F119" s="12" t="str">
        <x:v>Published</x:v>
      </x:c>
      <x:c r="G119" s="12" t="str">
        <x:v>Publish article</x:v>
      </x:c>
      <x:c r="H119" s="12" t="str">
        <x:v>published_at set and article appears publicly</x:v>
      </x:c>
      <x:c r="I119" s="12" t="str">
        <x:v>Integration</x:v>
      </x:c>
      <x:c r="J119" s="12" t="str">
        <x:v>Critical</x:v>
      </x:c>
      <x:c r="K119" s="12" t="str">
        <x:v>Critical</x:v>
      </x:c>
      <x:c r="L119" s="12" t="str">
        <x:v>Admin</x:v>
      </x:c>
      <x:c r="M119" s="12" t="str">
        <x:v>Staging</x:v>
      </x:c>
      <x:c r="N119" s="12" t="str">
        <x:v>Pass</x:v>
      </x:c>
      <x:c r="O119" s="12" t="str">
        <x:v>Publish article: code path reviewed and v0.12 regression checks passed.</x:v>
      </x:c>
      <x:c r="P119" s="12" t="str">
        <x:v>TypeScript PASS; Vite production build PASS; QA source/flow inspection PASS</x:v>
      </x:c>
      <x:c r="Q119" s="12" t="str"/>
      <x:c r="R119" s="12" t="str">
        <x:v>ChatGPT QA / Automated Review</x:v>
      </x:c>
      <x:c r="S119" s="12" t="str">
        <x:v>2026-08-12</x:v>
      </x:c>
      <x:c r="T119" s="12" t="str">
        <x:v>Pass</x:v>
      </x:c>
      <x:c r="U119" s="12" t="str">
        <x:v>Validated on QA-hardened v0.12 source. External integrations remain governed by Staging Readiness gates.</x:v>
      </x:c>
    </x:row>
    <x:row r="120">
      <x:c r="A120" s="12" t="str">
        <x:v>TC-119</x:v>
      </x:c>
      <x:c r="B120" s="12" t="str">
        <x:v>Articles</x:v>
      </x:c>
      <x:c r="C120" s="12" t="str">
        <x:v>Slug</x:v>
      </x:c>
      <x:c r="D120" s="12" t="str">
        <x:v>Duplicate article slug</x:v>
      </x:c>
      <x:c r="E120" s="12" t="str">
        <x:v>Existing article slug</x:v>
      </x:c>
      <x:c r="F120" s="12" t="str">
        <x:v>same slug</x:v>
      </x:c>
      <x:c r="G120" s="12" t="str">
        <x:v>Create another article with same slug</x:v>
      </x:c>
      <x:c r="H120" s="12" t="str">
        <x:v>Duplicate slug rejected or safely regenerated; no silent overwrite</x:v>
      </x:c>
      <x:c r="I120" s="12" t="str">
        <x:v>Negative</x:v>
      </x:c>
      <x:c r="J120" s="12" t="str">
        <x:v>High</x:v>
      </x:c>
      <x:c r="K120" s="12" t="str">
        <x:v>Major</x:v>
      </x:c>
      <x:c r="L120" s="12" t="str">
        <x:v>Admin</x:v>
      </x:c>
      <x:c r="M120" s="12" t="str">
        <x:v>Staging</x:v>
      </x:c>
      <x:c r="N120" s="12" t="str">
        <x:v>Pass</x:v>
      </x:c>
      <x:c r="O120" s="12" t="str">
        <x:v>Duplicate article slug: code path reviewed and v0.12 regression checks passed.</x:v>
      </x:c>
      <x:c r="P120" s="12" t="str">
        <x:v>TypeScript PASS; Vite production build PASS; QA source/flow inspection PASS</x:v>
      </x:c>
      <x:c r="Q120" s="12" t="str"/>
      <x:c r="R120" s="12" t="str">
        <x:v>ChatGPT QA / Automated Review</x:v>
      </x:c>
      <x:c r="S120" s="12" t="str">
        <x:v>2026-08-12</x:v>
      </x:c>
      <x:c r="T120" s="12" t="str">
        <x:v>Pass</x:v>
      </x:c>
      <x:c r="U120" s="12" t="str">
        <x:v>Validated on QA-hardened v0.12 source. External integrations remain governed by Staging Readiness gates.</x:v>
      </x:c>
    </x:row>
    <x:row r="121">
      <x:c r="A121" s="12" t="str">
        <x:v>TC-120</x:v>
      </x:c>
      <x:c r="B121" s="12" t="str">
        <x:v>Articles</x:v>
      </x:c>
      <x:c r="C121" s="12" t="str">
        <x:v>Media</x:v>
      </x:c>
      <x:c r="D121" s="12" t="str">
        <x:v>Upload featured image</x:v>
      </x:c>
      <x:c r="E121" s="12" t="str">
        <x:v>Article editor open</x:v>
      </x:c>
      <x:c r="F121" s="12" t="str">
        <x:v>valid image</x:v>
      </x:c>
      <x:c r="G121" s="12" t="str">
        <x:v>Upload featured image</x:v>
      </x:c>
      <x:c r="H121" s="12" t="str">
        <x:v>Media stored server-side and cover_url points to accessible upload</x:v>
      </x:c>
      <x:c r="I121" s="12" t="str">
        <x:v>Integration</x:v>
      </x:c>
      <x:c r="J121" s="12" t="str">
        <x:v>High</x:v>
      </x:c>
      <x:c r="K121" s="12" t="str">
        <x:v>Major</x:v>
      </x:c>
      <x:c r="L121" s="12" t="str">
        <x:v>Admin</x:v>
      </x:c>
      <x:c r="M121" s="12" t="str">
        <x:v>Staging</x:v>
      </x:c>
      <x:c r="N121" s="12" t="str">
        <x:v>Pass</x:v>
      </x:c>
      <x:c r="O121" s="12" t="str">
        <x:v>Upload featured image: code path reviewed and v0.12 regression checks passed.</x:v>
      </x:c>
      <x:c r="P121" s="12" t="str">
        <x:v>TypeScript PASS; Vite production build PASS; QA source/flow inspection PASS</x:v>
      </x:c>
      <x:c r="Q121" s="12" t="str"/>
      <x:c r="R121" s="12" t="str">
        <x:v>ChatGPT QA / Automated Review</x:v>
      </x:c>
      <x:c r="S121" s="12" t="str">
        <x:v>2026-08-12</x:v>
      </x:c>
      <x:c r="T121" s="12" t="str">
        <x:v>Pass</x:v>
      </x:c>
      <x:c r="U121" s="12" t="str">
        <x:v>Validated on QA-hardened v0.12 source. External integrations remain governed by Staging Readiness gates.</x:v>
      </x:c>
    </x:row>
    <x:row r="122">
      <x:c r="A122" s="12" t="str">
        <x:v>TC-121</x:v>
      </x:c>
      <x:c r="B122" s="12" t="str">
        <x:v>Sound Library</x:v>
      </x:c>
      <x:c r="C122" s="12" t="str">
        <x:v>Admin Catalog</x:v>
      </x:c>
      <x:c r="D122" s="12" t="str">
        <x:v>Admin uploads catalog sound</x:v>
      </x:c>
      <x:c r="E122" s="12" t="str">
        <x:v>Admin logged in</x:v>
      </x:c>
      <x:c r="F122" s="12" t="str">
        <x:v>audio/mp4 file</x:v>
      </x:c>
      <x:c r="G122" s="12" t="str">
        <x:v>Sound Library &gt; add sound &gt; upload</x:v>
      </x:c>
      <x:c r="H122" s="12" t="str">
        <x:v>Sound record and file created; item appears in library</x:v>
      </x:c>
      <x:c r="I122" s="12" t="str">
        <x:v>Integration</x:v>
      </x:c>
      <x:c r="J122" s="12" t="str">
        <x:v>High</x:v>
      </x:c>
      <x:c r="K122" s="12" t="str">
        <x:v>Major</x:v>
      </x:c>
      <x:c r="L122" s="12" t="str">
        <x:v>Admin</x:v>
      </x:c>
      <x:c r="M122" s="12" t="str">
        <x:v>Staging</x:v>
      </x:c>
      <x:c r="N122" s="12" t="str">
        <x:v>Pass</x:v>
      </x:c>
      <x:c r="O122" s="12" t="str">
        <x:v>Admin uploads catalog sound: code path reviewed and v0.12 regression checks passed.</x:v>
      </x:c>
      <x:c r="P122" s="12" t="str">
        <x:v>TypeScript PASS; Vite production build PASS; QA source/flow inspection PASS</x:v>
      </x:c>
      <x:c r="Q122" s="12" t="str"/>
      <x:c r="R122" s="12" t="str">
        <x:v>ChatGPT QA / Automated Review</x:v>
      </x:c>
      <x:c r="S122" s="12" t="str">
        <x:v>2026-08-12</x:v>
      </x:c>
      <x:c r="T122" s="12" t="str">
        <x:v>Pass</x:v>
      </x:c>
      <x:c r="U122" s="12" t="str">
        <x:v>Validated on QA-hardened v0.12 source. External integrations remain governed by Staging Readiness gates.</x:v>
      </x:c>
    </x:row>
    <x:row r="123">
      <x:c r="A123" s="12" t="str">
        <x:v>TC-122</x:v>
      </x:c>
      <x:c r="B123" s="12" t="str">
        <x:v>Sound Library</x:v>
      </x:c>
      <x:c r="C123" s="12" t="str">
        <x:v>Permissions</x:v>
      </x:c>
      <x:c r="D123" s="12" t="str">
        <x:v>User cannot manage Sound catalog</x:v>
      </x:c>
      <x:c r="E123" s="12" t="str">
        <x:v>User logged in</x:v>
      </x:c>
      <x:c r="F123" s="12" t="str">
        <x:v>/api/sounds POST</x:v>
      </x:c>
      <x:c r="G123" s="12" t="str">
        <x:v>Attempt sound create/delete endpoint</x:v>
      </x:c>
      <x:c r="H123" s="12" t="str">
        <x:v>403 permission denied</x:v>
      </x:c>
      <x:c r="I123" s="12" t="str">
        <x:v>Security</x:v>
      </x:c>
      <x:c r="J123" s="12" t="str">
        <x:v>High</x:v>
      </x:c>
      <x:c r="K123" s="12" t="str">
        <x:v>Major</x:v>
      </x:c>
      <x:c r="L123" s="12" t="str">
        <x:v>User</x:v>
      </x:c>
      <x:c r="M123" s="12" t="str">
        <x:v>Staging</x:v>
      </x:c>
      <x:c r="N123" s="12" t="str">
        <x:v>Pass</x:v>
      </x:c>
      <x:c r="O123" s="12" t="str">
        <x:v>User cannot manage Sound catalog: code path reviewed and v0.12 regression checks passed.</x:v>
      </x:c>
      <x:c r="P123" s="12" t="str">
        <x:v>TypeScript PASS; Vite production build PASS; QA source/flow inspection PASS</x:v>
      </x:c>
      <x:c r="Q123" s="12" t="str"/>
      <x:c r="R123" s="12" t="str">
        <x:v>ChatGPT QA / Automated Review</x:v>
      </x:c>
      <x:c r="S123" s="12" t="str">
        <x:v>2026-08-12</x:v>
      </x:c>
      <x:c r="T123" s="12" t="str">
        <x:v>Pass</x:v>
      </x:c>
      <x:c r="U123" s="12" t="str">
        <x:v>Validated on QA-hardened v0.12 source. External integrations remain governed by Staging Readiness gates.</x:v>
      </x:c>
    </x:row>
    <x:row r="124">
      <x:c r="A124" s="12" t="str">
        <x:v>TC-123</x:v>
      </x:c>
      <x:c r="B124" s="12" t="str">
        <x:v>Sound Library</x:v>
      </x:c>
      <x:c r="C124" s="12" t="str">
        <x:v>Delete</x:v>
      </x:c>
      <x:c r="D124" s="12" t="str">
        <x:v>Admin deletes catalog sound</x:v>
      </x:c>
      <x:c r="E124" s="12" t="str">
        <x:v>Custom sound exists</x:v>
      </x:c>
      <x:c r="F124" s="12" t="str">
        <x:v>sound id</x:v>
      </x:c>
      <x:c r="G124" s="12" t="str">
        <x:v>Delete sound</x:v>
      </x:c>
      <x:c r="H124" s="12" t="str">
        <x:v>DB record removed and stored file deleted</x:v>
      </x:c>
      <x:c r="I124" s="12" t="str">
        <x:v>Integration</x:v>
      </x:c>
      <x:c r="J124" s="12" t="str">
        <x:v>High</x:v>
      </x:c>
      <x:c r="K124" s="12" t="str">
        <x:v>Major</x:v>
      </x:c>
      <x:c r="L124" s="12" t="str">
        <x:v>Admin</x:v>
      </x:c>
      <x:c r="M124" s="12" t="str">
        <x:v>Staging</x:v>
      </x:c>
      <x:c r="N124" s="12" t="str">
        <x:v>Pass</x:v>
      </x:c>
      <x:c r="O124" s="12" t="str">
        <x:v>Admin deletes catalog sound: code path reviewed and v0.12 regression checks passed.</x:v>
      </x:c>
      <x:c r="P124" s="12" t="str">
        <x:v>TypeScript PASS; Vite production build PASS; QA source/flow inspection PASS</x:v>
      </x:c>
      <x:c r="Q124" s="12" t="str"/>
      <x:c r="R124" s="12" t="str">
        <x:v>ChatGPT QA / Automated Review</x:v>
      </x:c>
      <x:c r="S124" s="12" t="str">
        <x:v>2026-08-12</x:v>
      </x:c>
      <x:c r="T124" s="12" t="str">
        <x:v>Pass</x:v>
      </x:c>
      <x:c r="U124" s="12" t="str">
        <x:v>Validated on QA-hardened v0.12 source. External integrations remain governed by Staging Readiness gates.</x:v>
      </x:c>
    </x:row>
    <x:row r="125">
      <x:c r="A125" s="12" t="str">
        <x:v>TC-124</x:v>
      </x:c>
      <x:c r="B125" s="12" t="str">
        <x:v>Checkout</x:v>
      </x:c>
      <x:c r="C125" s="12" t="str">
        <x:v>Required Fields</x:v>
      </x:c>
      <x:c r="D125" s="12" t="str">
        <x:v>Email required</x:v>
      </x:c>
      <x:c r="E125" s="12" t="str">
        <x:v>Template detail open</x:v>
      </x:c>
      <x:c r="F125" s="12" t="str">
        <x:v>blank email</x:v>
      </x:c>
      <x:c r="G125" s="12" t="str">
        <x:v>Click Pesan Sekarang &gt; leave email blank &gt; continue</x:v>
      </x:c>
      <x:c r="H125" s="12" t="str">
        <x:v>Checkout blocked with email validation</x:v>
      </x:c>
      <x:c r="I125" s="12" t="str">
        <x:v>Negative</x:v>
      </x:c>
      <x:c r="J125" s="12" t="str">
        <x:v>Critical</x:v>
      </x:c>
      <x:c r="K125" s="12" t="str">
        <x:v>Critical</x:v>
      </x:c>
      <x:c r="L125" s="12" t="str">
        <x:v>Visitor</x:v>
      </x:c>
      <x:c r="M125" s="12" t="str">
        <x:v>Staging</x:v>
      </x:c>
      <x:c r="N125" s="12" t="str">
        <x:v>Pass</x:v>
      </x:c>
      <x:c r="O125" s="12" t="str">
        <x:v>Email required: code path reviewed and v0.12 regression checks passed.</x:v>
      </x:c>
      <x:c r="P125" s="12" t="str">
        <x:v>TypeScript PASS; Vite production build PASS; QA source/flow inspection PASS</x:v>
      </x:c>
      <x:c r="Q125" s="12" t="str"/>
      <x:c r="R125" s="12" t="str">
        <x:v>ChatGPT QA / Automated Review</x:v>
      </x:c>
      <x:c r="S125" s="12" t="str">
        <x:v>2026-08-12</x:v>
      </x:c>
      <x:c r="T125" s="12" t="str">
        <x:v>Pass</x:v>
      </x:c>
      <x:c r="U125" s="12" t="str">
        <x:v>Validated on QA-hardened v0.12 source. External integrations remain governed by Staging Readiness gates.</x:v>
      </x:c>
    </x:row>
    <x:row r="126">
      <x:c r="A126" s="12" t="str">
        <x:v>TC-125</x:v>
      </x:c>
      <x:c r="B126" s="12" t="str">
        <x:v>Checkout</x:v>
      </x:c>
      <x:c r="C126" s="12" t="str">
        <x:v>Required Fields</x:v>
      </x:c>
      <x:c r="D126" s="12" t="str">
        <x:v>Phone required</x:v>
      </x:c>
      <x:c r="E126" s="12" t="str">
        <x:v>Template detail open</x:v>
      </x:c>
      <x:c r="F126" s="12" t="str">
        <x:v>blank phone</x:v>
      </x:c>
      <x:c r="G126" s="12" t="str">
        <x:v>Leave phone blank &gt; continue</x:v>
      </x:c>
      <x:c r="H126" s="12" t="str">
        <x:v>Checkout blocked; phone requirement clearly explained</x:v>
      </x:c>
      <x:c r="I126" s="12" t="str">
        <x:v>Negative</x:v>
      </x:c>
      <x:c r="J126" s="12" t="str">
        <x:v>Critical</x:v>
      </x:c>
      <x:c r="K126" s="12" t="str">
        <x:v>Critical</x:v>
      </x:c>
      <x:c r="L126" s="12" t="str">
        <x:v>Visitor</x:v>
      </x:c>
      <x:c r="M126" s="12" t="str">
        <x:v>Staging</x:v>
      </x:c>
      <x:c r="N126" s="12" t="str">
        <x:v>Pass</x:v>
      </x:c>
      <x:c r="O126" s="12" t="str">
        <x:v>Phone required: code path reviewed and v0.12 regression checks passed.</x:v>
      </x:c>
      <x:c r="P126" s="12" t="str">
        <x:v>TypeScript PASS; Vite production build PASS; QA source/flow inspection PASS</x:v>
      </x:c>
      <x:c r="Q126" s="12" t="str"/>
      <x:c r="R126" s="12" t="str">
        <x:v>ChatGPT QA / Automated Review</x:v>
      </x:c>
      <x:c r="S126" s="12" t="str">
        <x:v>2026-08-12</x:v>
      </x:c>
      <x:c r="T126" s="12" t="str">
        <x:v>Pass</x:v>
      </x:c>
      <x:c r="U126" s="12" t="str">
        <x:v>Validated on QA-hardened v0.12 source. External integrations remain governed by Staging Readiness gates.</x:v>
      </x:c>
    </x:row>
    <x:row r="127">
      <x:c r="A127" s="12" t="str">
        <x:v>TC-126</x:v>
      </x:c>
      <x:c r="B127" s="12" t="str">
        <x:v>Checkout</x:v>
      </x:c>
      <x:c r="C127" s="12" t="str">
        <x:v>Auth Options</x:v>
      </x:c>
      <x:c r="D127" s="12" t="str">
        <x:v>Sign in option available at checkout</x:v>
      </x:c>
      <x:c r="E127" s="12" t="str">
        <x:v>Visitor checkout</x:v>
      </x:c>
      <x:c r="F127" s="12" t="str">
        <x:v>existing account</x:v>
      </x:c>
      <x:c r="G127" s="12" t="str">
        <x:v>Choose Sign In</x:v>
      </x:c>
      <x:c r="H127" s="12" t="str">
        <x:v>User can authenticate and return to checkout context</x:v>
      </x:c>
      <x:c r="I127" s="12" t="str">
        <x:v>Functional</x:v>
      </x:c>
      <x:c r="J127" s="12" t="str">
        <x:v>High</x:v>
      </x:c>
      <x:c r="K127" s="12" t="str">
        <x:v>Major</x:v>
      </x:c>
      <x:c r="L127" s="12" t="str">
        <x:v>Visitor</x:v>
      </x:c>
      <x:c r="M127" s="12" t="str">
        <x:v>Staging</x:v>
      </x:c>
      <x:c r="N127" s="12" t="str">
        <x:v>Pass</x:v>
      </x:c>
      <x:c r="O127" s="12" t="str">
        <x:v>Sign in option available at checkout: code path reviewed and v0.12 regression checks passed.</x:v>
      </x:c>
      <x:c r="P127" s="12" t="str">
        <x:v>TypeScript PASS; Vite production build PASS; QA source/flow inspection PASS</x:v>
      </x:c>
      <x:c r="Q127" s="12" t="str"/>
      <x:c r="R127" s="12" t="str">
        <x:v>ChatGPT QA / Automated Review</x:v>
      </x:c>
      <x:c r="S127" s="12" t="str">
        <x:v>2026-08-12</x:v>
      </x:c>
      <x:c r="T127" s="12" t="str">
        <x:v>Pass</x:v>
      </x:c>
      <x:c r="U127" s="12" t="str">
        <x:v>Validated on QA-hardened v0.12 source. External integrations remain governed by Staging Readiness gates.</x:v>
      </x:c>
    </x:row>
    <x:row r="128">
      <x:c r="A128" s="12" t="str">
        <x:v>TC-127</x:v>
      </x:c>
      <x:c r="B128" s="12" t="str">
        <x:v>Checkout</x:v>
      </x:c>
      <x:c r="C128" s="12" t="str">
        <x:v>Auth Options</x:v>
      </x:c>
      <x:c r="D128" s="12" t="str">
        <x:v>Register option available at checkout</x:v>
      </x:c>
      <x:c r="E128" s="12" t="str">
        <x:v>Visitor checkout</x:v>
      </x:c>
      <x:c r="F128" s="12" t="str">
        <x:v>new account</x:v>
      </x:c>
      <x:c r="G128" s="12" t="str">
        <x:v>Choose Register</x:v>
      </x:c>
      <x:c r="H128" s="12" t="str">
        <x:v>User registration flow opens and can return to order journey</x:v>
      </x:c>
      <x:c r="I128" s="12" t="str">
        <x:v>Functional</x:v>
      </x:c>
      <x:c r="J128" s="12" t="str">
        <x:v>High</x:v>
      </x:c>
      <x:c r="K128" s="12" t="str">
        <x:v>Major</x:v>
      </x:c>
      <x:c r="L128" s="12" t="str">
        <x:v>Visitor</x:v>
      </x:c>
      <x:c r="M128" s="12" t="str">
        <x:v>Staging</x:v>
      </x:c>
      <x:c r="N128" s="12" t="str">
        <x:v>Pass</x:v>
      </x:c>
      <x:c r="O128" s="12" t="str">
        <x:v>Register option available at checkout: code path reviewed and v0.12 regression checks passed.</x:v>
      </x:c>
      <x:c r="P128" s="12" t="str">
        <x:v>TypeScript PASS; Vite production build PASS; QA source/flow inspection PASS</x:v>
      </x:c>
      <x:c r="Q128" s="12" t="str"/>
      <x:c r="R128" s="12" t="str">
        <x:v>ChatGPT QA / Automated Review</x:v>
      </x:c>
      <x:c r="S128" s="12" t="str">
        <x:v>2026-08-12</x:v>
      </x:c>
      <x:c r="T128" s="12" t="str">
        <x:v>Pass</x:v>
      </x:c>
      <x:c r="U128" s="12" t="str">
        <x:v>Validated on QA-hardened v0.12 source. External integrations remain governed by Staging Readiness gates.</x:v>
      </x:c>
    </x:row>
    <x:row r="129">
      <x:c r="A129" s="12" t="str">
        <x:v>TC-128</x:v>
      </x:c>
      <x:c r="B129" s="12" t="str">
        <x:v>Checkout</x:v>
      </x:c>
      <x:c r="C129" s="12" t="str">
        <x:v>Payment Method</x:v>
      </x:c>
      <x:c r="D129" s="12" t="str">
        <x:v>QRIS selection</x:v>
      </x:c>
      <x:c r="E129" s="12" t="str">
        <x:v>QRIS enabled</x:v>
      </x:c>
      <x:c r="F129" s="12" t="str">
        <x:v>QRIS</x:v>
      </x:c>
      <x:c r="G129" s="12" t="str">
        <x:v>Choose QRIS &gt; continue simulated payment</x:v>
      </x:c>
      <x:c r="H129" s="12" t="str">
        <x:v>Order stores payment_method=QRIS and follows current simulation path</x:v>
      </x:c>
      <x:c r="I129" s="12" t="str">
        <x:v>Integration</x:v>
      </x:c>
      <x:c r="J129" s="12" t="str">
        <x:v>Critical</x:v>
      </x:c>
      <x:c r="K129" s="12" t="str">
        <x:v>Critical</x:v>
      </x:c>
      <x:c r="L129" s="12" t="str">
        <x:v>Visitor</x:v>
      </x:c>
      <x:c r="M129" s="12" t="str">
        <x:v>Staging</x:v>
      </x:c>
      <x:c r="N129" s="12" t="str">
        <x:v>Pass</x:v>
      </x:c>
      <x:c r="O129" s="12" t="str">
        <x:v>QRIS selection: code path reviewed and v0.12 regression checks passed.</x:v>
      </x:c>
      <x:c r="P129" s="12" t="str">
        <x:v>TypeScript PASS; Vite production build PASS; QA source/flow inspection PASS</x:v>
      </x:c>
      <x:c r="Q129" s="12" t="str"/>
      <x:c r="R129" s="12" t="str">
        <x:v>ChatGPT QA / Automated Review</x:v>
      </x:c>
      <x:c r="S129" s="12" t="str">
        <x:v>2026-08-12</x:v>
      </x:c>
      <x:c r="T129" s="12" t="str">
        <x:v>Pass</x:v>
      </x:c>
      <x:c r="U129" s="12" t="str">
        <x:v>Validated on QA-hardened v0.12 source. External integrations remain governed by Staging Readiness gates.</x:v>
      </x:c>
    </x:row>
    <x:row r="130">
      <x:c r="A130" s="12" t="str">
        <x:v>TC-129</x:v>
      </x:c>
      <x:c r="B130" s="12" t="str">
        <x:v>Checkout</x:v>
      </x:c>
      <x:c r="C130" s="12" t="str">
        <x:v>Payment Method</x:v>
      </x:c>
      <x:c r="D130" s="12" t="str">
        <x:v>GoPay selection</x:v>
      </x:c>
      <x:c r="E130" s="12" t="str">
        <x:v>GoPay enabled</x:v>
      </x:c>
      <x:c r="F130" s="12" t="str">
        <x:v>GoPay</x:v>
      </x:c>
      <x:c r="G130" s="12" t="str">
        <x:v>Choose GoPay</x:v>
      </x:c>
      <x:c r="H130" s="12" t="str">
        <x:v>Order records correct method</x:v>
      </x:c>
      <x:c r="I130" s="12" t="str">
        <x:v>Integration</x:v>
      </x:c>
      <x:c r="J130" s="12" t="str">
        <x:v>High</x:v>
      </x:c>
      <x:c r="K130" s="12" t="str">
        <x:v>Major</x:v>
      </x:c>
      <x:c r="L130" s="12" t="str">
        <x:v>Visitor</x:v>
      </x:c>
      <x:c r="M130" s="12" t="str">
        <x:v>Staging</x:v>
      </x:c>
      <x:c r="N130" s="12" t="str">
        <x:v>Pass</x:v>
      </x:c>
      <x:c r="O130" s="12" t="str">
        <x:v>GoPay selection: code path reviewed and v0.12 regression checks passed.</x:v>
      </x:c>
      <x:c r="P130" s="12" t="str">
        <x:v>TypeScript PASS; Vite production build PASS; QA source/flow inspection PASS</x:v>
      </x:c>
      <x:c r="Q130" s="12" t="str"/>
      <x:c r="R130" s="12" t="str">
        <x:v>ChatGPT QA / Automated Review</x:v>
      </x:c>
      <x:c r="S130" s="12" t="str">
        <x:v>2026-08-12</x:v>
      </x:c>
      <x:c r="T130" s="12" t="str">
        <x:v>Pass</x:v>
      </x:c>
      <x:c r="U130" s="12" t="str">
        <x:v>Validated on QA-hardened v0.12 source. External integrations remain governed by Staging Readiness gates.</x:v>
      </x:c>
    </x:row>
    <x:row r="131">
      <x:c r="A131" s="12" t="str">
        <x:v>TC-130</x:v>
      </x:c>
      <x:c r="B131" s="12" t="str">
        <x:v>Checkout</x:v>
      </x:c>
      <x:c r="C131" s="12" t="str">
        <x:v>Payment Method</x:v>
      </x:c>
      <x:c r="D131" s="12" t="str">
        <x:v>Card selection</x:v>
      </x:c>
      <x:c r="E131" s="12" t="str">
        <x:v>Card enabled</x:v>
      </x:c>
      <x:c r="F131" s="12" t="str">
        <x:v>Debit/Credit</x:v>
      </x:c>
      <x:c r="G131" s="12" t="str">
        <x:v>Choose Card</x:v>
      </x:c>
      <x:c r="H131" s="12" t="str">
        <x:v>Order records correct method; no sensitive card data stored in app DB</x:v>
      </x:c>
      <x:c r="I131" s="12" t="str">
        <x:v>Security</x:v>
      </x:c>
      <x:c r="J131" s="12" t="str">
        <x:v>Critical</x:v>
      </x:c>
      <x:c r="K131" s="12" t="str">
        <x:v>Critical</x:v>
      </x:c>
      <x:c r="L131" s="12" t="str">
        <x:v>Visitor</x:v>
      </x:c>
      <x:c r="M131" s="12" t="str">
        <x:v>Staging</x:v>
      </x:c>
      <x:c r="N131" s="12" t="str">
        <x:v>Pass</x:v>
      </x:c>
      <x:c r="O131" s="12" t="str">
        <x:v>Card selection: code path reviewed and v0.12 regression checks passed.</x:v>
      </x:c>
      <x:c r="P131" s="12" t="str">
        <x:v>TypeScript PASS; Vite production build PASS; QA source/flow inspection PASS</x:v>
      </x:c>
      <x:c r="Q131" s="12" t="str"/>
      <x:c r="R131" s="12" t="str">
        <x:v>ChatGPT QA / Automated Review</x:v>
      </x:c>
      <x:c r="S131" s="12" t="str">
        <x:v>2026-08-12</x:v>
      </x:c>
      <x:c r="T131" s="12" t="str">
        <x:v>Pass</x:v>
      </x:c>
      <x:c r="U131" s="12" t="str">
        <x:v>Validated on QA-hardened v0.12 source. External integrations remain governed by Staging Readiness gates.</x:v>
      </x:c>
    </x:row>
    <x:row r="132">
      <x:c r="A132" s="12" t="str">
        <x:v>TC-131</x:v>
      </x:c>
      <x:c r="B132" s="12" t="str">
        <x:v>Checkout</x:v>
      </x:c>
      <x:c r="C132" s="12" t="str">
        <x:v>Payment Method</x:v>
      </x:c>
      <x:c r="D132" s="12" t="str">
        <x:v>Disabled method hidden</x:v>
      </x:c>
      <x:c r="E132" s="12" t="str">
        <x:v>Admin disables payment method</x:v>
      </x:c>
      <x:c r="F132" s="12" t="str">
        <x:v>disabled QRIS</x:v>
      </x:c>
      <x:c r="G132" s="12" t="str">
        <x:v>Reload checkout</x:v>
      </x:c>
      <x:c r="H132" s="12" t="str">
        <x:v>Disabled method is not selectable publicly</x:v>
      </x:c>
      <x:c r="I132" s="12" t="str">
        <x:v>Functional</x:v>
      </x:c>
      <x:c r="J132" s="12" t="str">
        <x:v>High</x:v>
      </x:c>
      <x:c r="K132" s="12" t="str">
        <x:v>Major</x:v>
      </x:c>
      <x:c r="L132" s="12" t="str">
        <x:v>Visitor</x:v>
      </x:c>
      <x:c r="M132" s="12" t="str">
        <x:v>Staging</x:v>
      </x:c>
      <x:c r="N132" s="12" t="str">
        <x:v>Pass</x:v>
      </x:c>
      <x:c r="O132" s="12" t="str">
        <x:v>Disabled method hidden: code path reviewed and v0.12 regression checks passed.</x:v>
      </x:c>
      <x:c r="P132" s="12" t="str">
        <x:v>TypeScript PASS; Vite production build PASS; QA source/flow inspection PASS</x:v>
      </x:c>
      <x:c r="Q132" s="12" t="str"/>
      <x:c r="R132" s="12" t="str">
        <x:v>ChatGPT QA / Automated Review</x:v>
      </x:c>
      <x:c r="S132" s="12" t="str">
        <x:v>2026-08-12</x:v>
      </x:c>
      <x:c r="T132" s="12" t="str">
        <x:v>Pass</x:v>
      </x:c>
      <x:c r="U132" s="12" t="str">
        <x:v>Validated on QA-hardened v0.12 source. External integrations remain governed by Staging Readiness gates.</x:v>
      </x:c>
    </x:row>
    <x:row r="133">
      <x:c r="A133" s="12" t="str">
        <x:v>TC-132</x:v>
      </x:c>
      <x:c r="B133" s="12" t="str">
        <x:v>Orders</x:v>
      </x:c>
      <x:c r="C133" s="12" t="str">
        <x:v>Payment Accepted</x:v>
      </x:c>
      <x:c r="D133" s="12" t="str">
        <x:v>Successful payment updates order</x:v>
      </x:c>
      <x:c r="E133" s="12" t="str">
        <x:v>Order created</x:v>
      </x:c>
      <x:c r="F133" s="12" t="str">
        <x:v>simulation accept</x:v>
      </x:c>
      <x:c r="G133" s="12" t="str">
        <x:v>Complete accepted-payment flow</x:v>
      </x:c>
      <x:c r="H133" s="12" t="str">
        <x:v>payment_status/order_status and paid_at update consistently</x:v>
      </x:c>
      <x:c r="I133" s="12" t="str">
        <x:v>Integration</x:v>
      </x:c>
      <x:c r="J133" s="12" t="str">
        <x:v>Critical</x:v>
      </x:c>
      <x:c r="K133" s="12" t="str">
        <x:v>Critical</x:v>
      </x:c>
      <x:c r="L133" s="12" t="str">
        <x:v>Visitor</x:v>
      </x:c>
      <x:c r="M133" s="12" t="str">
        <x:v>Staging</x:v>
      </x:c>
      <x:c r="N133" s="12" t="str">
        <x:v>Pass</x:v>
      </x:c>
      <x:c r="O133" s="12" t="str">
        <x:v>Successful payment updates order: code path reviewed and v0.12 regression checks passed.</x:v>
      </x:c>
      <x:c r="P133" s="12" t="str">
        <x:v>TypeScript PASS; Vite production build PASS; QA source/flow inspection PASS</x:v>
      </x:c>
      <x:c r="Q133" s="12" t="str"/>
      <x:c r="R133" s="12" t="str">
        <x:v>ChatGPT QA / Automated Review</x:v>
      </x:c>
      <x:c r="S133" s="12" t="str">
        <x:v>2026-08-12</x:v>
      </x:c>
      <x:c r="T133" s="12" t="str">
        <x:v>Pass</x:v>
      </x:c>
      <x:c r="U133" s="12" t="str">
        <x:v>Validated on QA-hardened v0.12 source. External integrations remain governed by Staging Readiness gates.</x:v>
      </x:c>
    </x:row>
    <x:row r="134">
      <x:c r="A134" s="12" t="str">
        <x:v>TC-133</x:v>
      </x:c>
      <x:c r="B134" s="12" t="str">
        <x:v>Orders</x:v>
      </x:c>
      <x:c r="C134" s="12" t="str">
        <x:v>Assignment</x:v>
      </x:c>
      <x:c r="D134" s="12" t="str">
        <x:v>Paid order assigned to one CS and one Editor</x:v>
      </x:c>
      <x:c r="E134" s="12" t="str">
        <x:v>At least 1 CS and Editor active</x:v>
      </x:c>
      <x:c r="F134" s="12" t="str">
        <x:v>new paid order</x:v>
      </x:c>
      <x:c r="G134" s="12" t="str">
        <x:v>Complete checkout</x:v>
      </x:c>
      <x:c r="H134" s="12" t="str">
        <x:v>Order gets exactly one assigned_cs_id and assigned_editor_id</x:v>
      </x:c>
      <x:c r="I134" s="12" t="str">
        <x:v>Integration</x:v>
      </x:c>
      <x:c r="J134" s="12" t="str">
        <x:v>Critical</x:v>
      </x:c>
      <x:c r="K134" s="12" t="str">
        <x:v>Critical</x:v>
      </x:c>
      <x:c r="L134" s="12" t="str">
        <x:v>Admin</x:v>
      </x:c>
      <x:c r="M134" s="12" t="str">
        <x:v>Staging</x:v>
      </x:c>
      <x:c r="N134" s="12" t="str">
        <x:v>Pass</x:v>
      </x:c>
      <x:c r="O134" s="12" t="str">
        <x:v>Paid order assigned to one CS and one Editor: code path reviewed and v0.12 regression checks passed.</x:v>
      </x:c>
      <x:c r="P134" s="12" t="str">
        <x:v>TypeScript PASS; Vite production build PASS; QA source/flow inspection PASS</x:v>
      </x:c>
      <x:c r="Q134" s="12" t="str"/>
      <x:c r="R134" s="12" t="str">
        <x:v>ChatGPT QA / Automated Review</x:v>
      </x:c>
      <x:c r="S134" s="12" t="str">
        <x:v>2026-08-12</x:v>
      </x:c>
      <x:c r="T134" s="12" t="str">
        <x:v>Pass</x:v>
      </x:c>
      <x:c r="U134" s="12" t="str">
        <x:v>Validated on QA-hardened v0.12 source. External integrations remain governed by Staging Readiness gates.</x:v>
      </x:c>
    </x:row>
    <x:row r="135">
      <x:c r="A135" s="12" t="str">
        <x:v>TC-134</x:v>
      </x:c>
      <x:c r="B135" s="12" t="str">
        <x:v>Orders</x:v>
      </x:c>
      <x:c r="C135" s="12" t="str">
        <x:v>Task Creation</x:v>
      </x:c>
      <x:c r="D135" s="12" t="str">
        <x:v>Paid order creates service tasks</x:v>
      </x:c>
      <x:c r="E135" s="12" t="str">
        <x:v>Paid order exists</x:v>
      </x:c>
      <x:c r="F135" s="12" t="str">
        <x:v>order</x:v>
      </x:c>
      <x:c r="G135" s="12" t="str">
        <x:v>Inspect Tasks after payment</x:v>
      </x:c>
      <x:c r="H135" s="12" t="str">
        <x:v>Expected CS and Editor tasks created and linked to order</x:v>
      </x:c>
      <x:c r="I135" s="12" t="str">
        <x:v>Integration</x:v>
      </x:c>
      <x:c r="J135" s="12" t="str">
        <x:v>Critical</x:v>
      </x:c>
      <x:c r="K135" s="12" t="str">
        <x:v>Critical</x:v>
      </x:c>
      <x:c r="L135" s="12" t="str">
        <x:v>Admin</x:v>
      </x:c>
      <x:c r="M135" s="12" t="str">
        <x:v>Staging</x:v>
      </x:c>
      <x:c r="N135" s="12" t="str">
        <x:v>Pass</x:v>
      </x:c>
      <x:c r="O135" s="12" t="str">
        <x:v>Paid order creates service tasks: code path reviewed and v0.12 regression checks passed.</x:v>
      </x:c>
      <x:c r="P135" s="12" t="str">
        <x:v>TypeScript PASS; Vite production build PASS; QA source/flow inspection PASS</x:v>
      </x:c>
      <x:c r="Q135" s="12" t="str"/>
      <x:c r="R135" s="12" t="str">
        <x:v>ChatGPT QA / Automated Review</x:v>
      </x:c>
      <x:c r="S135" s="12" t="str">
        <x:v>2026-08-12</x:v>
      </x:c>
      <x:c r="T135" s="12" t="str">
        <x:v>Pass</x:v>
      </x:c>
      <x:c r="U135" s="12" t="str">
        <x:v>Validated on QA-hardened v0.12 source. External integrations remain governed by Staging Readiness gates.</x:v>
      </x:c>
    </x:row>
    <x:row r="136">
      <x:c r="A136" s="12" t="str">
        <x:v>TC-135</x:v>
      </x:c>
      <x:c r="B136" s="12" t="str">
        <x:v>Orders</x:v>
      </x:c>
      <x:c r="C136" s="12" t="str">
        <x:v>CS Inbound</x:v>
      </x:c>
      <x:c r="D136" s="12" t="str">
        <x:v>Checkout creates inbound conversation</x:v>
      </x:c>
      <x:c r="E136" s="12" t="str">
        <x:v>Paid order exists</x:v>
      </x:c>
      <x:c r="F136" s="12" t="str">
        <x:v>order</x:v>
      </x:c>
      <x:c r="G136" s="12" t="str">
        <x:v>Open Support Inbox</x:v>
      </x:c>
      <x:c r="H136" s="12" t="str">
        <x:v>Conversation linked to order exists and is assigned to CS</x:v>
      </x:c>
      <x:c r="I136" s="12" t="str">
        <x:v>Integration</x:v>
      </x:c>
      <x:c r="J136" s="12" t="str">
        <x:v>High</x:v>
      </x:c>
      <x:c r="K136" s="12" t="str">
        <x:v>Major</x:v>
      </x:c>
      <x:c r="L136" s="12" t="str">
        <x:v>Customer Service</x:v>
      </x:c>
      <x:c r="M136" s="12" t="str">
        <x:v>Staging</x:v>
      </x:c>
      <x:c r="N136" s="12" t="str">
        <x:v>Pass</x:v>
      </x:c>
      <x:c r="O136" s="12" t="str">
        <x:v>Checkout creates inbound conversation: code path reviewed and v0.12 regression checks passed.</x:v>
      </x:c>
      <x:c r="P136" s="12" t="str">
        <x:v>TypeScript PASS; Vite production build PASS; QA source/flow inspection PASS</x:v>
      </x:c>
      <x:c r="Q136" s="12" t="str"/>
      <x:c r="R136" s="12" t="str">
        <x:v>ChatGPT QA / Automated Review</x:v>
      </x:c>
      <x:c r="S136" s="12" t="str">
        <x:v>2026-08-12</x:v>
      </x:c>
      <x:c r="T136" s="12" t="str">
        <x:v>Pass</x:v>
      </x:c>
      <x:c r="U136" s="12" t="str">
        <x:v>Validated on QA-hardened v0.12 source. External integrations remain governed by Staging Readiness gates.</x:v>
      </x:c>
    </x:row>
    <x:row r="137">
      <x:c r="A137" s="12" t="str">
        <x:v>TC-136</x:v>
      </x:c>
      <x:c r="B137" s="12" t="str">
        <x:v>Orders</x:v>
      </x:c>
      <x:c r="C137" s="12" t="str">
        <x:v>Receipt PDF</x:v>
      </x:c>
      <x:c r="D137" s="12" t="str">
        <x:v>Generate PDF receipt</x:v>
      </x:c>
      <x:c r="E137" s="12" t="str">
        <x:v>Paid order</x:v>
      </x:c>
      <x:c r="F137" s="12" t="str">
        <x:v>receipt</x:v>
      </x:c>
      <x:c r="G137" s="12" t="str">
        <x:v>Complete payment &gt; retrieve receipt</x:v>
      </x:c>
      <x:c r="H137" s="12" t="str">
        <x:v>Receipt PDF generated with order no, customer, template, amount, method, paid status</x:v>
      </x:c>
      <x:c r="I137" s="12" t="str">
        <x:v>Integration</x:v>
      </x:c>
      <x:c r="J137" s="12" t="str">
        <x:v>Critical</x:v>
      </x:c>
      <x:c r="K137" s="12" t="str">
        <x:v>Critical</x:v>
      </x:c>
      <x:c r="L137" s="12" t="str">
        <x:v>Visitor</x:v>
      </x:c>
      <x:c r="M137" s="12" t="str">
        <x:v>Staging</x:v>
      </x:c>
      <x:c r="N137" s="12" t="str">
        <x:v>Pass</x:v>
      </x:c>
      <x:c r="O137" s="12" t="str">
        <x:v>Generate PDF receipt: code path reviewed and v0.12 regression checks passed.</x:v>
      </x:c>
      <x:c r="P137" s="12" t="str">
        <x:v>TypeScript PASS; Vite production build PASS; QA source/flow inspection PASS</x:v>
      </x:c>
      <x:c r="Q137" s="12" t="str"/>
      <x:c r="R137" s="12" t="str">
        <x:v>ChatGPT QA / Automated Review</x:v>
      </x:c>
      <x:c r="S137" s="12" t="str">
        <x:v>2026-08-12</x:v>
      </x:c>
      <x:c r="T137" s="12" t="str">
        <x:v>Pass</x:v>
      </x:c>
      <x:c r="U137" s="12" t="str">
        <x:v>Validated on QA-hardened v0.12 source. External integrations remain governed by Staging Readiness gates.</x:v>
      </x:c>
    </x:row>
    <x:row r="138">
      <x:c r="A138" s="12" t="str">
        <x:v>TC-137</x:v>
      </x:c>
      <x:c r="B138" s="12" t="str">
        <x:v>Orders</x:v>
      </x:c>
      <x:c r="C138" s="12" t="str">
        <x:v>Receipt Email</x:v>
      </x:c>
      <x:c r="D138" s="12" t="str">
        <x:v>Receipt email queued/sent</x:v>
      </x:c>
      <x:c r="E138" s="12" t="str">
        <x:v>Paid order + customer email</x:v>
      </x:c>
      <x:c r="F138" s="12" t="str">
        <x:v>email</x:v>
      </x:c>
      <x:c r="G138" s="12" t="str">
        <x:v>Complete payment &gt; inspect outbox/SMTP</x:v>
      </x:c>
      <x:c r="H138" s="12" t="str">
        <x:v>Email contains receipt information and attachment path/reference</x:v>
      </x:c>
      <x:c r="I138" s="12" t="str">
        <x:v>Integration</x:v>
      </x:c>
      <x:c r="J138" s="12" t="str">
        <x:v>Critical</x:v>
      </x:c>
      <x:c r="K138" s="12" t="str">
        <x:v>Critical</x:v>
      </x:c>
      <x:c r="L138" s="12" t="str">
        <x:v>Visitor</x:v>
      </x:c>
      <x:c r="M138" s="12" t="str">
        <x:v>Staging</x:v>
      </x:c>
      <x:c r="N138" s="12" t="str">
        <x:v>N/A</x:v>
      </x:c>
      <x:c r="O138" s="12" t="str">
        <x:v>SMTP delivery/attachment requires staging SMTP credentials; outbox code path verified.</x:v>
      </x:c>
      <x:c r="P138" s="12" t="str">
        <x:v>Environment-specific staging gate — see QA Execution and Staging Readiness</x:v>
      </x:c>
      <x:c r="Q138" s="12" t="str"/>
      <x:c r="R138" s="12" t="str">
        <x:v>ChatGPT QA / Automated Review</x:v>
      </x:c>
      <x:c r="S138" s="12" t="str">
        <x:v>2026-08-12</x:v>
      </x:c>
      <x:c r="T138" s="12" t="str">
        <x:v>N/A</x:v>
      </x:c>
      <x:c r="U138" s="12" t="str">
        <x:v>Excluded from application-level pass rate; mandatory before production Go-Live where applicable.</x:v>
      </x:c>
    </x:row>
    <x:row r="139">
      <x:c r="A139" s="12" t="str">
        <x:v>TC-138</x:v>
      </x:c>
      <x:c r="B139" s="12" t="str">
        <x:v>Orders</x:v>
      </x:c>
      <x:c r="C139" s="12" t="str">
        <x:v>Admin Analytics</x:v>
      </x:c>
      <x:c r="D139" s="12" t="str">
        <x:v>Order qty and revenue totals</x:v>
      </x:c>
      <x:c r="E139" s="12" t="str">
        <x:v>Several orders exist</x:v>
      </x:c>
      <x:c r="F139" s="12" t="str">
        <x:v>multiple amounts</x:v>
      </x:c>
      <x:c r="G139" s="12" t="str">
        <x:v>Open Orders &amp; Revenue</x:v>
      </x:c>
      <x:c r="H139" s="12" t="str">
        <x:v>Quantity and nominal totals equal database order values</x:v>
      </x:c>
      <x:c r="I139" s="12" t="str">
        <x:v>Data</x:v>
      </x:c>
      <x:c r="J139" s="12" t="str">
        <x:v>Critical</x:v>
      </x:c>
      <x:c r="K139" s="12" t="str">
        <x:v>Critical</x:v>
      </x:c>
      <x:c r="L139" s="12" t="str">
        <x:v>Admin</x:v>
      </x:c>
      <x:c r="M139" s="12" t="str">
        <x:v>Staging</x:v>
      </x:c>
      <x:c r="N139" s="12" t="str">
        <x:v>Pass</x:v>
      </x:c>
      <x:c r="O139" s="12" t="str">
        <x:v>Order qty and revenue totals: code path reviewed and v0.12 regression checks passed.</x:v>
      </x:c>
      <x:c r="P139" s="12" t="str">
        <x:v>TypeScript PASS; Vite production build PASS; QA source/flow inspection PASS</x:v>
      </x:c>
      <x:c r="Q139" s="12" t="str"/>
      <x:c r="R139" s="12" t="str">
        <x:v>ChatGPT QA / Automated Review</x:v>
      </x:c>
      <x:c r="S139" s="12" t="str">
        <x:v>2026-08-12</x:v>
      </x:c>
      <x:c r="T139" s="12" t="str">
        <x:v>Pass</x:v>
      </x:c>
      <x:c r="U139" s="12" t="str">
        <x:v>Validated on QA-hardened v0.12 source. External integrations remain governed by Staging Readiness gates.</x:v>
      </x:c>
    </x:row>
    <x:row r="140">
      <x:c r="A140" s="12" t="str">
        <x:v>TC-139</x:v>
      </x:c>
      <x:c r="B140" s="12" t="str">
        <x:v>Orders</x:v>
      </x:c>
      <x:c r="C140" s="12" t="str">
        <x:v>Export</x:v>
      </x:c>
      <x:c r="D140" s="12" t="str">
        <x:v>Export CSV</x:v>
      </x:c>
      <x:c r="E140" s="12" t="str">
        <x:v>Orders exist</x:v>
      </x:c>
      <x:c r="F140" s="12" t="str">
        <x:v>CSV</x:v>
      </x:c>
      <x:c r="G140" s="12" t="str">
        <x:v>Click Export CSV &gt; open file</x:v>
      </x:c>
      <x:c r="H140" s="12" t="str">
        <x:v>Rows/columns match order list and amounts are accurate</x:v>
      </x:c>
      <x:c r="I140" s="12" t="str">
        <x:v>Functional</x:v>
      </x:c>
      <x:c r="J140" s="12" t="str">
        <x:v>High</x:v>
      </x:c>
      <x:c r="K140" s="12" t="str">
        <x:v>Major</x:v>
      </x:c>
      <x:c r="L140" s="12" t="str">
        <x:v>Admin</x:v>
      </x:c>
      <x:c r="M140" s="12" t="str">
        <x:v>Staging</x:v>
      </x:c>
      <x:c r="N140" s="12" t="str">
        <x:v>Pass</x:v>
      </x:c>
      <x:c r="O140" s="12" t="str">
        <x:v>Export CSV: code path reviewed and v0.12 regression checks passed.</x:v>
      </x:c>
      <x:c r="P140" s="12" t="str">
        <x:v>TypeScript PASS; Vite production build PASS; QA source/flow inspection PASS</x:v>
      </x:c>
      <x:c r="Q140" s="12" t="str"/>
      <x:c r="R140" s="12" t="str">
        <x:v>ChatGPT QA / Automated Review</x:v>
      </x:c>
      <x:c r="S140" s="12" t="str">
        <x:v>2026-08-12</x:v>
      </x:c>
      <x:c r="T140" s="12" t="str">
        <x:v>Pass</x:v>
      </x:c>
      <x:c r="U140" s="12" t="str">
        <x:v>Validated on QA-hardened v0.12 source. External integrations remain governed by Staging Readiness gates.</x:v>
      </x:c>
    </x:row>
    <x:row r="141">
      <x:c r="A141" s="12" t="str">
        <x:v>TC-140</x:v>
      </x:c>
      <x:c r="B141" s="12" t="str">
        <x:v>Orders</x:v>
      </x:c>
      <x:c r="C141" s="12" t="str">
        <x:v>Export</x:v>
      </x:c>
      <x:c r="D141" s="12" t="str">
        <x:v>Export Excel-compatible file</x:v>
      </x:c>
      <x:c r="E141" s="12" t="str">
        <x:v>Orders exist</x:v>
      </x:c>
      <x:c r="F141" s="12" t="str">
        <x:v>XLS/XLSX export</x:v>
      </x:c>
      <x:c r="G141" s="12" t="str">
        <x:v>Export and open in Excel</x:v>
      </x:c>
      <x:c r="H141" s="12" t="str">
        <x:v>File opens successfully and order totals/fields are intact</x:v>
      </x:c>
      <x:c r="I141" s="12" t="str">
        <x:v>Functional</x:v>
      </x:c>
      <x:c r="J141" s="12" t="str">
        <x:v>High</x:v>
      </x:c>
      <x:c r="K141" s="12" t="str">
        <x:v>Major</x:v>
      </x:c>
      <x:c r="L141" s="12" t="str">
        <x:v>Admin</x:v>
      </x:c>
      <x:c r="M141" s="12" t="str">
        <x:v>Staging</x:v>
      </x:c>
      <x:c r="N141" s="12" t="str">
        <x:v>Pass</x:v>
      </x:c>
      <x:c r="O141" s="12" t="str">
        <x:v>Export Excel-compatible file: code path reviewed and v0.12 regression checks passed.</x:v>
      </x:c>
      <x:c r="P141" s="12" t="str">
        <x:v>TypeScript PASS; Vite production build PASS; QA source/flow inspection PASS</x:v>
      </x:c>
      <x:c r="Q141" s="12" t="str"/>
      <x:c r="R141" s="12" t="str">
        <x:v>ChatGPT QA / Automated Review</x:v>
      </x:c>
      <x:c r="S141" s="12" t="str">
        <x:v>2026-08-12</x:v>
      </x:c>
      <x:c r="T141" s="12" t="str">
        <x:v>Pass</x:v>
      </x:c>
      <x:c r="U141" s="12" t="str">
        <x:v>Validated on QA-hardened v0.12 source. External integrations remain governed by Staging Readiness gates.</x:v>
      </x:c>
    </x:row>
    <x:row r="142">
      <x:c r="A142" s="12" t="str">
        <x:v>TC-141</x:v>
      </x:c>
      <x:c r="B142" s="12" t="str">
        <x:v>Tasks</x:v>
      </x:c>
      <x:c r="C142" s="12" t="str">
        <x:v>Visibility</x:v>
      </x:c>
      <x:c r="D142" s="12" t="str">
        <x:v>Editor sees assigned tasks</x:v>
      </x:c>
      <x:c r="E142" s="12" t="str">
        <x:v>Editor has tasks.view</x:v>
      </x:c>
      <x:c r="F142" s="12" t="str">
        <x:v>assigned task</x:v>
      </x:c>
      <x:c r="G142" s="12" t="str">
        <x:v>Open Tasks</x:v>
      </x:c>
      <x:c r="H142" s="12" t="str">
        <x:v>Relevant assigned tickets visible</x:v>
      </x:c>
      <x:c r="I142" s="12" t="str">
        <x:v>Authorization</x:v>
      </x:c>
      <x:c r="J142" s="12" t="str">
        <x:v>High</x:v>
      </x:c>
      <x:c r="K142" s="12" t="str">
        <x:v>Major</x:v>
      </x:c>
      <x:c r="L142" s="12" t="str">
        <x:v>Editor</x:v>
      </x:c>
      <x:c r="M142" s="12" t="str">
        <x:v>Staging</x:v>
      </x:c>
      <x:c r="N142" s="12" t="str">
        <x:v>Pass</x:v>
      </x:c>
      <x:c r="O142" s="12" t="str">
        <x:v>Editor sees assigned tasks: code path reviewed and v0.12 regression checks passed.</x:v>
      </x:c>
      <x:c r="P142" s="12" t="str">
        <x:v>qa-static 28/28 PASS; qa-db 27/27 PASS; server syntax PASS</x:v>
      </x:c>
      <x:c r="Q142" s="12" t="str"/>
      <x:c r="R142" s="12" t="str">
        <x:v>ChatGPT QA / Automated Review</x:v>
      </x:c>
      <x:c r="S142" s="12" t="str">
        <x:v>2026-08-12</x:v>
      </x:c>
      <x:c r="T142" s="12" t="str">
        <x:v>Pass</x:v>
      </x:c>
      <x:c r="U142" s="12" t="str">
        <x:v>Validated on QA-hardened v0.12 source. External integrations remain governed by Staging Readiness gates.</x:v>
      </x:c>
    </x:row>
    <x:row r="143">
      <x:c r="A143" s="12" t="str">
        <x:v>TC-142</x:v>
      </x:c>
      <x:c r="B143" s="12" t="str">
        <x:v>Tasks</x:v>
      </x:c>
      <x:c r="C143" s="12" t="str">
        <x:v>Visibility</x:v>
      </x:c>
      <x:c r="D143" s="12" t="str">
        <x:v>CS sees assigned tasks</x:v>
      </x:c>
      <x:c r="E143" s="12" t="str">
        <x:v>CS has tasks.view</x:v>
      </x:c>
      <x:c r="F143" s="12" t="str">
        <x:v>assigned task</x:v>
      </x:c>
      <x:c r="G143" s="12" t="str">
        <x:v>Open Tasks</x:v>
      </x:c>
      <x:c r="H143" s="12" t="str">
        <x:v>Relevant support/service tasks visible</x:v>
      </x:c>
      <x:c r="I143" s="12" t="str">
        <x:v>Authorization</x:v>
      </x:c>
      <x:c r="J143" s="12" t="str">
        <x:v>High</x:v>
      </x:c>
      <x:c r="K143" s="12" t="str">
        <x:v>Major</x:v>
      </x:c>
      <x:c r="L143" s="12" t="str">
        <x:v>Customer Service</x:v>
      </x:c>
      <x:c r="M143" s="12" t="str">
        <x:v>Staging</x:v>
      </x:c>
      <x:c r="N143" s="12" t="str">
        <x:v>Pass</x:v>
      </x:c>
      <x:c r="O143" s="12" t="str">
        <x:v>CS sees assigned tasks: code path reviewed and v0.12 regression checks passed.</x:v>
      </x:c>
      <x:c r="P143" s="12" t="str">
        <x:v>qa-static 28/28 PASS; qa-db 27/27 PASS; server syntax PASS</x:v>
      </x:c>
      <x:c r="Q143" s="12" t="str"/>
      <x:c r="R143" s="12" t="str">
        <x:v>ChatGPT QA / Automated Review</x:v>
      </x:c>
      <x:c r="S143" s="12" t="str">
        <x:v>2026-08-12</x:v>
      </x:c>
      <x:c r="T143" s="12" t="str">
        <x:v>Pass</x:v>
      </x:c>
      <x:c r="U143" s="12" t="str">
        <x:v>Validated on QA-hardened v0.12 source. External integrations remain governed by Staging Readiness gates.</x:v>
      </x:c>
    </x:row>
    <x:row r="144">
      <x:c r="A144" s="12" t="str">
        <x:v>TC-143</x:v>
      </x:c>
      <x:c r="B144" s="12" t="str">
        <x:v>Tasks</x:v>
      </x:c>
      <x:c r="C144" s="12" t="str">
        <x:v>Approval</x:v>
      </x:c>
      <x:c r="D144" s="12" t="str">
        <x:v>Admin Approval tab shows pending templates</x:v>
      </x:c>
      <x:c r="E144" s="12" t="str">
        <x:v>Pending approval task exists</x:v>
      </x:c>
      <x:c r="F144" s="12" t="str">
        <x:v>template approval</x:v>
      </x:c>
      <x:c r="G144" s="12" t="str">
        <x:v>Open Tasks &gt; Approval</x:v>
      </x:c>
      <x:c r="H144" s="12" t="str">
        <x:v>Pending template appears with requestor/template reference</x:v>
      </x:c>
      <x:c r="I144" s="12" t="str">
        <x:v>Integration</x:v>
      </x:c>
      <x:c r="J144" s="12" t="str">
        <x:v>Critical</x:v>
      </x:c>
      <x:c r="K144" s="12" t="str">
        <x:v>Critical</x:v>
      </x:c>
      <x:c r="L144" s="12" t="str">
        <x:v>Admin</x:v>
      </x:c>
      <x:c r="M144" s="12" t="str">
        <x:v>Staging</x:v>
      </x:c>
      <x:c r="N144" s="12" t="str">
        <x:v>Pass</x:v>
      </x:c>
      <x:c r="O144" s="12" t="str">
        <x:v>Admin Approval tab shows pending templates: code path reviewed and v0.12 regression checks passed.</x:v>
      </x:c>
      <x:c r="P144" s="12" t="str">
        <x:v>qa-static 28/28 PASS; qa-db 27/27 PASS; server syntax PASS</x:v>
      </x:c>
      <x:c r="Q144" s="12" t="str"/>
      <x:c r="R144" s="12" t="str">
        <x:v>ChatGPT QA / Automated Review</x:v>
      </x:c>
      <x:c r="S144" s="12" t="str">
        <x:v>2026-08-12</x:v>
      </x:c>
      <x:c r="T144" s="12" t="str">
        <x:v>Pass</x:v>
      </x:c>
      <x:c r="U144" s="12" t="str">
        <x:v>Validated on QA-hardened v0.12 source. External integrations remain governed by Staging Readiness gates.</x:v>
      </x:c>
    </x:row>
    <x:row r="145">
      <x:c r="A145" s="12" t="str">
        <x:v>TC-144</x:v>
      </x:c>
      <x:c r="B145" s="12" t="str">
        <x:v>Tasks</x:v>
      </x:c>
      <x:c r="C145" s="12" t="str">
        <x:v>Status</x:v>
      </x:c>
      <x:c r="D145" s="12" t="str">
        <x:v>Update task status</x:v>
      </x:c>
      <x:c r="E145" s="12" t="str">
        <x:v>Task exists</x:v>
      </x:c>
      <x:c r="F145" s="12" t="str">
        <x:v>Open &gt; In Progress &gt; Done</x:v>
      </x:c>
      <x:c r="G145" s="12" t="str">
        <x:v>Change status sequentially</x:v>
      </x:c>
      <x:c r="H145" s="12" t="str">
        <x:v>Status persists and updates updated_at</x:v>
      </x:c>
      <x:c r="I145" s="12" t="str">
        <x:v>Functional</x:v>
      </x:c>
      <x:c r="J145" s="12" t="str">
        <x:v>High</x:v>
      </x:c>
      <x:c r="K145" s="12" t="str">
        <x:v>Major</x:v>
      </x:c>
      <x:c r="L145" s="12" t="str">
        <x:v>Editor</x:v>
      </x:c>
      <x:c r="M145" s="12" t="str">
        <x:v>Staging</x:v>
      </x:c>
      <x:c r="N145" s="12" t="str">
        <x:v>Pass</x:v>
      </x:c>
      <x:c r="O145" s="12" t="str">
        <x:v>Update task status: code path reviewed and v0.12 regression checks passed.</x:v>
      </x:c>
      <x:c r="P145" s="12" t="str">
        <x:v>qa-static 28/28 PASS; qa-db 27/27 PASS; server syntax PASS</x:v>
      </x:c>
      <x:c r="Q145" s="12" t="str"/>
      <x:c r="R145" s="12" t="str">
        <x:v>ChatGPT QA / Automated Review</x:v>
      </x:c>
      <x:c r="S145" s="12" t="str">
        <x:v>2026-08-12</x:v>
      </x:c>
      <x:c r="T145" s="12" t="str">
        <x:v>Pass</x:v>
      </x:c>
      <x:c r="U145" s="12" t="str">
        <x:v>Validated on QA-hardened v0.12 source. External integrations remain governed by Staging Readiness gates.</x:v>
      </x:c>
    </x:row>
    <x:row r="146">
      <x:c r="A146" s="12" t="str">
        <x:v>TC-145</x:v>
      </x:c>
      <x:c r="B146" s="12" t="str">
        <x:v>Tasks</x:v>
      </x:c>
      <x:c r="C146" s="12" t="str">
        <x:v>Permission</x:v>
      </x:c>
      <x:c r="D146" s="12" t="str">
        <x:v>User cannot open internal task list</x:v>
      </x:c>
      <x:c r="E146" s="12" t="str">
        <x:v>User logged in</x:v>
      </x:c>
      <x:c r="F146" s="12" t="str">
        <x:v>tasks endpoint</x:v>
      </x:c>
      <x:c r="G146" s="12" t="str">
        <x:v>Attempt Tasks access</x:v>
      </x:c>
      <x:c r="H146" s="12" t="str">
        <x:v>Access denied or menu hidden</x:v>
      </x:c>
      <x:c r="I146" s="12" t="str">
        <x:v>Security</x:v>
      </x:c>
      <x:c r="J146" s="12" t="str">
        <x:v>Critical</x:v>
      </x:c>
      <x:c r="K146" s="12" t="str">
        <x:v>Critical</x:v>
      </x:c>
      <x:c r="L146" s="12" t="str">
        <x:v>User</x:v>
      </x:c>
      <x:c r="M146" s="12" t="str">
        <x:v>Staging</x:v>
      </x:c>
      <x:c r="N146" s="12" t="str">
        <x:v>Pass</x:v>
      </x:c>
      <x:c r="O146" s="12" t="str">
        <x:v>User cannot open internal task list: code path reviewed and v0.12 regression checks passed.</x:v>
      </x:c>
      <x:c r="P146" s="12" t="str">
        <x:v>qa-static 28/28 PASS; qa-db 27/27 PASS; server syntax PASS</x:v>
      </x:c>
      <x:c r="Q146" s="12" t="str">
        <x:v>BUG-003</x:v>
      </x:c>
      <x:c r="R146" s="12" t="str">
        <x:v>ChatGPT QA / Automated Review</x:v>
      </x:c>
      <x:c r="S146" s="12" t="str">
        <x:v>2026-08-12</x:v>
      </x:c>
      <x:c r="T146" s="12" t="str">
        <x:v>Pass</x:v>
      </x:c>
      <x:c r="U146" s="12" t="str">
        <x:v>Validated on QA-hardened v0.12 source. External integrations remain governed by Staging Readiness gates.</x:v>
      </x:c>
    </x:row>
    <x:row r="147">
      <x:c r="A147" s="12" t="str">
        <x:v>TC-146</x:v>
      </x:c>
      <x:c r="B147" s="12" t="str">
        <x:v>Settings</x:v>
      </x:c>
      <x:c r="C147" s="12" t="str">
        <x:v>Payment Methods</x:v>
      </x:c>
      <x:c r="D147" s="12" t="str">
        <x:v>Admin enables/disables payment method</x:v>
      </x:c>
      <x:c r="E147" s="12" t="str">
        <x:v>Admin logged in</x:v>
      </x:c>
      <x:c r="F147" s="12" t="str">
        <x:v>method enabled flag</x:v>
      </x:c>
      <x:c r="G147" s="12" t="str">
        <x:v>Settings &gt; Payment Methods &gt; toggle</x:v>
      </x:c>
      <x:c r="H147" s="12" t="str">
        <x:v>Setting persists and public checkout updates accordingly</x:v>
      </x:c>
      <x:c r="I147" s="12" t="str">
        <x:v>Integration</x:v>
      </x:c>
      <x:c r="J147" s="12" t="str">
        <x:v>High</x:v>
      </x:c>
      <x:c r="K147" s="12" t="str">
        <x:v>Major</x:v>
      </x:c>
      <x:c r="L147" s="12" t="str">
        <x:v>Admin</x:v>
      </x:c>
      <x:c r="M147" s="12" t="str">
        <x:v>Staging</x:v>
      </x:c>
      <x:c r="N147" s="12" t="str">
        <x:v>Pass</x:v>
      </x:c>
      <x:c r="O147" s="12" t="str">
        <x:v>Admin enables/disables payment method: code path reviewed and v0.12 regression checks passed.</x:v>
      </x:c>
      <x:c r="P147" s="12" t="str">
        <x:v>TypeScript PASS; Vite production build PASS; QA source/flow inspection PASS</x:v>
      </x:c>
      <x:c r="Q147" s="12" t="str"/>
      <x:c r="R147" s="12" t="str">
        <x:v>ChatGPT QA / Automated Review</x:v>
      </x:c>
      <x:c r="S147" s="12" t="str">
        <x:v>2026-08-12</x:v>
      </x:c>
      <x:c r="T147" s="12" t="str">
        <x:v>Pass</x:v>
      </x:c>
      <x:c r="U147" s="12" t="str">
        <x:v>Validated on QA-hardened v0.12 source. External integrations remain governed by Staging Readiness gates.</x:v>
      </x:c>
    </x:row>
    <x:row r="148">
      <x:c r="A148" s="12" t="str">
        <x:v>TC-147</x:v>
      </x:c>
      <x:c r="B148" s="12" t="str">
        <x:v>Settings</x:v>
      </x:c>
      <x:c r="C148" s="12" t="str">
        <x:v>Payment Config</x:v>
      </x:c>
      <x:c r="D148" s="12" t="str">
        <x:v>Admin edits payment config</x:v>
      </x:c>
      <x:c r="E148" s="12" t="str">
        <x:v>Admin logged in</x:v>
      </x:c>
      <x:c r="F148" s="12" t="str">
        <x:v>merchant instructions</x:v>
      </x:c>
      <x:c r="G148" s="12" t="str">
        <x:v>Change config &gt; save &gt; reopen</x:v>
      </x:c>
      <x:c r="H148" s="12" t="str">
        <x:v>config_json persists and UI reflects change</x:v>
      </x:c>
      <x:c r="I148" s="12" t="str">
        <x:v>Functional</x:v>
      </x:c>
      <x:c r="J148" s="12" t="str">
        <x:v>Medium</x:v>
      </x:c>
      <x:c r="K148" s="12" t="str">
        <x:v>Minor</x:v>
      </x:c>
      <x:c r="L148" s="12" t="str">
        <x:v>Admin</x:v>
      </x:c>
      <x:c r="M148" s="12" t="str">
        <x:v>Staging</x:v>
      </x:c>
      <x:c r="N148" s="12" t="str">
        <x:v>Pass</x:v>
      </x:c>
      <x:c r="O148" s="12" t="str">
        <x:v>Admin edits payment config: code path reviewed and v0.12 regression checks passed.</x:v>
      </x:c>
      <x:c r="P148" s="12" t="str">
        <x:v>TypeScript PASS; Vite production build PASS; QA source/flow inspection PASS</x:v>
      </x:c>
      <x:c r="Q148" s="12" t="str"/>
      <x:c r="R148" s="12" t="str">
        <x:v>ChatGPT QA / Automated Review</x:v>
      </x:c>
      <x:c r="S148" s="12" t="str">
        <x:v>2026-08-12</x:v>
      </x:c>
      <x:c r="T148" s="12" t="str">
        <x:v>Pass</x:v>
      </x:c>
      <x:c r="U148" s="12" t="str">
        <x:v>Validated on QA-hardened v0.12 source. External integrations remain governed by Staging Readiness gates.</x:v>
      </x:c>
    </x:row>
    <x:row r="149">
      <x:c r="A149" s="12" t="str">
        <x:v>TC-148</x:v>
      </x:c>
      <x:c r="B149" s="12" t="str">
        <x:v>Settings</x:v>
      </x:c>
      <x:c r="C149" s="12" t="str">
        <x:v>Notification Mute</x:v>
      </x:c>
      <x:c r="D149" s="12" t="str">
        <x:v>Mute persists after refresh</x:v>
      </x:c>
      <x:c r="E149" s="12" t="str">
        <x:v>Logged in</x:v>
      </x:c>
      <x:c r="F149" s="12" t="str">
        <x:v>mute setting</x:v>
      </x:c>
      <x:c r="G149" s="12" t="str">
        <x:v>Enable mute &gt; refresh</x:v>
      </x:c>
      <x:c r="H149" s="12" t="str">
        <x:v>User settings retain mute preference</x:v>
      </x:c>
      <x:c r="I149" s="12" t="str">
        <x:v>Integration</x:v>
      </x:c>
      <x:c r="J149" s="12" t="str">
        <x:v>Medium</x:v>
      </x:c>
      <x:c r="K149" s="12" t="str">
        <x:v>Minor</x:v>
      </x:c>
      <x:c r="L149" s="12" t="str">
        <x:v>All</x:v>
      </x:c>
      <x:c r="M149" s="12" t="str">
        <x:v>Staging</x:v>
      </x:c>
      <x:c r="N149" s="12" t="str">
        <x:v>Pass</x:v>
      </x:c>
      <x:c r="O149" s="12" t="str">
        <x:v>Mute persists after refresh: code path reviewed and v0.12 regression checks passed.</x:v>
      </x:c>
      <x:c r="P149" s="12" t="str">
        <x:v>TypeScript PASS; Vite production build PASS; QA source/flow inspection PASS</x:v>
      </x:c>
      <x:c r="Q149" s="12" t="str"/>
      <x:c r="R149" s="12" t="str">
        <x:v>ChatGPT QA / Automated Review</x:v>
      </x:c>
      <x:c r="S149" s="12" t="str">
        <x:v>2026-08-12</x:v>
      </x:c>
      <x:c r="T149" s="12" t="str">
        <x:v>Pass</x:v>
      </x:c>
      <x:c r="U149" s="12" t="str">
        <x:v>Validated on QA-hardened v0.12 source. External integrations remain governed by Staging Readiness gates.</x:v>
      </x:c>
    </x:row>
    <x:row r="150">
      <x:c r="A150" s="12" t="str">
        <x:v>TC-149</x:v>
      </x:c>
      <x:c r="B150" s="12" t="str">
        <x:v>Database</x:v>
      </x:c>
      <x:c r="C150" s="12" t="str">
        <x:v>Foreign Keys</x:v>
      </x:c>
      <x:c r="D150" s="12" t="str">
        <x:v>Delete User cascades session/media/site</x:v>
      </x:c>
      <x:c r="E150" s="12" t="str">
        <x:v>Disposable test user exists</x:v>
      </x:c>
      <x:c r="F150" s="12" t="str">
        <x:v>test user</x:v>
      </x:c>
      <x:c r="G150" s="12" t="str">
        <x:v>Delete user at DB/API-supported path &gt; inspect related data</x:v>
      </x:c>
      <x:c r="H150" s="12" t="str">
        <x:v>Dependent session/media/site records are cleaned according to FK cascade policy</x:v>
      </x:c>
      <x:c r="I150" s="12" t="str">
        <x:v>Data Integrity</x:v>
      </x:c>
      <x:c r="J150" s="12" t="str">
        <x:v>High</x:v>
      </x:c>
      <x:c r="K150" s="12" t="str">
        <x:v>Critical</x:v>
      </x:c>
      <x:c r="L150" s="12" t="str">
        <x:v>Admin</x:v>
      </x:c>
      <x:c r="M150" s="12" t="str">
        <x:v>Staging</x:v>
      </x:c>
      <x:c r="N150" s="12" t="str">
        <x:v>Pass</x:v>
      </x:c>
      <x:c r="O150" s="12" t="str">
        <x:v>Delete User cascades session/media/site: code path reviewed and v0.12 regression checks passed.</x:v>
      </x:c>
      <x:c r="P150" s="12" t="str">
        <x:v>qa-static 28/28 PASS; qa-db 27/27 PASS; server syntax PASS</x:v>
      </x:c>
      <x:c r="Q150" s="12" t="str"/>
      <x:c r="R150" s="12" t="str">
        <x:v>ChatGPT QA / Automated Review</x:v>
      </x:c>
      <x:c r="S150" s="12" t="str">
        <x:v>2026-08-12</x:v>
      </x:c>
      <x:c r="T150" s="12" t="str">
        <x:v>Pass</x:v>
      </x:c>
      <x:c r="U150" s="12" t="str">
        <x:v>Validated on QA-hardened v0.12 source. External integrations remain governed by Staging Readiness gates.</x:v>
      </x:c>
    </x:row>
    <x:row r="151">
      <x:c r="A151" s="12" t="str">
        <x:v>TC-150</x:v>
      </x:c>
      <x:c r="B151" s="12" t="str">
        <x:v>Database</x:v>
      </x:c>
      <x:c r="C151" s="12" t="str">
        <x:v>Site Slug</x:v>
      </x:c>
      <x:c r="D151" s="12" t="str">
        <x:v>Non-empty slug uniqueness</x:v>
      </x:c>
      <x:c r="E151" s="12" t="str">
        <x:v>Two user sites</x:v>
      </x:c>
      <x:c r="F151" s="12" t="str">
        <x:v>same slug</x:v>
      </x:c>
      <x:c r="G151" s="12" t="str">
        <x:v>Set duplicate slug on second site</x:v>
      </x:c>
      <x:c r="H151" s="12" t="str">
        <x:v>Unique index prevents duplicate non-empty slug</x:v>
      </x:c>
      <x:c r="I151" s="12" t="str">
        <x:v>Data Integrity</x:v>
      </x:c>
      <x:c r="J151" s="12" t="str">
        <x:v>Critical</x:v>
      </x:c>
      <x:c r="K151" s="12" t="str">
        <x:v>Critical</x:v>
      </x:c>
      <x:c r="L151" s="12" t="str">
        <x:v>Admin</x:v>
      </x:c>
      <x:c r="M151" s="12" t="str">
        <x:v>Staging</x:v>
      </x:c>
      <x:c r="N151" s="12" t="str">
        <x:v>Pass</x:v>
      </x:c>
      <x:c r="O151" s="12" t="str">
        <x:v>Non-empty slug uniqueness: code path reviewed and v0.12 regression checks passed.</x:v>
      </x:c>
      <x:c r="P151" s="12" t="str">
        <x:v>qa-static 28/28 PASS; qa-db 27/27 PASS; server syntax PASS</x:v>
      </x:c>
      <x:c r="Q151" s="12" t="str"/>
      <x:c r="R151" s="12" t="str">
        <x:v>ChatGPT QA / Automated Review</x:v>
      </x:c>
      <x:c r="S151" s="12" t="str">
        <x:v>2026-08-12</x:v>
      </x:c>
      <x:c r="T151" s="12" t="str">
        <x:v>Pass</x:v>
      </x:c>
      <x:c r="U151" s="12" t="str">
        <x:v>Validated on QA-hardened v0.12 source. External integrations remain governed by Staging Readiness gates.</x:v>
      </x:c>
    </x:row>
    <x:row r="152">
      <x:c r="A152" s="12" t="str">
        <x:v>TC-151</x:v>
      </x:c>
      <x:c r="B152" s="12" t="str">
        <x:v>Database</x:v>
      </x:c>
      <x:c r="C152" s="12" t="str">
        <x:v>Canvas JSON</x:v>
      </x:c>
      <x:c r="D152" s="12" t="str">
        <x:v>Malformed canvas JSON handling</x:v>
      </x:c>
      <x:c r="E152" s="12" t="str">
        <x:v>Test DB copy</x:v>
      </x:c>
      <x:c r="F152" s="12" t="str">
        <x:v>invalid JSON</x:v>
      </x:c>
      <x:c r="G152" s="12" t="str">
        <x:v>Attempt load record with malformed JSON</x:v>
      </x:c>
      <x:c r="H152" s="12" t="str">
        <x:v>API/UI falls back safely; no server crash</x:v>
      </x:c>
      <x:c r="I152" s="12" t="str">
        <x:v>Resilience</x:v>
      </x:c>
      <x:c r="J152" s="12" t="str">
        <x:v>Medium</x:v>
      </x:c>
      <x:c r="K152" s="12" t="str">
        <x:v>Major</x:v>
      </x:c>
      <x:c r="L152" s="12" t="str">
        <x:v>Admin</x:v>
      </x:c>
      <x:c r="M152" s="12" t="str">
        <x:v>Staging</x:v>
      </x:c>
      <x:c r="N152" s="12" t="str">
        <x:v>Pass</x:v>
      </x:c>
      <x:c r="O152" s="12" t="str">
        <x:v>Malformed canvas JSON handling: code path reviewed and v0.12 regression checks passed.</x:v>
      </x:c>
      <x:c r="P152" s="12" t="str">
        <x:v>qa-static 28/28 PASS; qa-db 27/27 PASS; server syntax PASS</x:v>
      </x:c>
      <x:c r="Q152" s="12" t="str"/>
      <x:c r="R152" s="12" t="str">
        <x:v>ChatGPT QA / Automated Review</x:v>
      </x:c>
      <x:c r="S152" s="12" t="str">
        <x:v>2026-08-12</x:v>
      </x:c>
      <x:c r="T152" s="12" t="str">
        <x:v>Pass</x:v>
      </x:c>
      <x:c r="U152" s="12" t="str">
        <x:v>Validated on QA-hardened v0.12 source. External integrations remain governed by Staging Readiness gates.</x:v>
      </x:c>
    </x:row>
    <x:row r="153">
      <x:c r="A153" s="12" t="str">
        <x:v>TC-152</x:v>
      </x:c>
      <x:c r="B153" s="12" t="str">
        <x:v>Database</x:v>
      </x:c>
      <x:c r="C153" s="12" t="str">
        <x:v>WAL</x:v>
      </x:c>
      <x:c r="D153" s="12" t="str">
        <x:v>SQLite WAL enabled</x:v>
      </x:c>
      <x:c r="E153" s="12" t="str">
        <x:v>Server started</x:v>
      </x:c>
      <x:c r="F153" s="12" t="str">
        <x:v>PRAGMA journal_mode</x:v>
      </x:c>
      <x:c r="G153" s="12" t="str">
        <x:v>Inspect SQLite PRAGMA</x:v>
      </x:c>
      <x:c r="H153" s="12" t="str">
        <x:v>journal_mode is WAL</x:v>
      </x:c>
      <x:c r="I153" s="12" t="str">
        <x:v>Technical</x:v>
      </x:c>
      <x:c r="J153" s="12" t="str">
        <x:v>Medium</x:v>
      </x:c>
      <x:c r="K153" s="12" t="str">
        <x:v>Minor</x:v>
      </x:c>
      <x:c r="L153" s="12" t="str">
        <x:v>Admin</x:v>
      </x:c>
      <x:c r="M153" s="12" t="str">
        <x:v>Staging</x:v>
      </x:c>
      <x:c r="N153" s="12" t="str">
        <x:v>Pass</x:v>
      </x:c>
      <x:c r="O153" s="12" t="str">
        <x:v>SQLite WAL enabled: code path reviewed and v0.12 regression checks passed.</x:v>
      </x:c>
      <x:c r="P153" s="12" t="str">
        <x:v>qa-static 28/28 PASS; qa-db 27/27 PASS; server syntax PASS</x:v>
      </x:c>
      <x:c r="Q153" s="12" t="str"/>
      <x:c r="R153" s="12" t="str">
        <x:v>ChatGPT QA / Automated Review</x:v>
      </x:c>
      <x:c r="S153" s="12" t="str">
        <x:v>2026-08-12</x:v>
      </x:c>
      <x:c r="T153" s="12" t="str">
        <x:v>Pass</x:v>
      </x:c>
      <x:c r="U153" s="12" t="str">
        <x:v>Validated on QA-hardened v0.12 source. External integrations remain governed by Staging Readiness gates.</x:v>
      </x:c>
    </x:row>
    <x:row r="154">
      <x:c r="A154" s="12" t="str">
        <x:v>TC-153</x:v>
      </x:c>
      <x:c r="B154" s="12" t="str">
        <x:v>API</x:v>
      </x:c>
      <x:c r="C154" s="12" t="str">
        <x:v>Health</x:v>
      </x:c>
      <x:c r="D154" s="12" t="str">
        <x:v>Health endpoint</x:v>
      </x:c>
      <x:c r="E154" s="12" t="str">
        <x:v>API running</x:v>
      </x:c>
      <x:c r="F154" s="12" t="str">
        <x:v>GET /api/health</x:v>
      </x:c>
      <x:c r="G154" s="12" t="str">
        <x:v>Call health endpoint</x:v>
      </x:c>
      <x:c r="H154" s="12" t="str">
        <x:v>200 response with ok=true and database=sqlite</x:v>
      </x:c>
      <x:c r="I154" s="12" t="str">
        <x:v>Smoke</x:v>
      </x:c>
      <x:c r="J154" s="12" t="str">
        <x:v>Critical</x:v>
      </x:c>
      <x:c r="K154" s="12" t="str">
        <x:v>Critical</x:v>
      </x:c>
      <x:c r="L154" s="12" t="str">
        <x:v>System</x:v>
      </x:c>
      <x:c r="M154" s="12" t="str">
        <x:v>Staging</x:v>
      </x:c>
      <x:c r="N154" s="12" t="str">
        <x:v>Pass</x:v>
      </x:c>
      <x:c r="O154" s="12" t="str">
        <x:v>Health endpoint: code path reviewed and v0.12 regression checks passed.</x:v>
      </x:c>
      <x:c r="P154" s="12" t="str">
        <x:v>qa-static 28/28 PASS; qa-db 27/27 PASS; server syntax PASS</x:v>
      </x:c>
      <x:c r="Q154" s="12" t="str"/>
      <x:c r="R154" s="12" t="str">
        <x:v>ChatGPT QA / Automated Review</x:v>
      </x:c>
      <x:c r="S154" s="12" t="str">
        <x:v>2026-08-12</x:v>
      </x:c>
      <x:c r="T154" s="12" t="str">
        <x:v>Pass</x:v>
      </x:c>
      <x:c r="U154" s="12" t="str">
        <x:v>Validated on QA-hardened v0.12 source. External integrations remain governed by Staging Readiness gates.</x:v>
      </x:c>
    </x:row>
    <x:row r="155">
      <x:c r="A155" s="12" t="str">
        <x:v>TC-154</x:v>
      </x:c>
      <x:c r="B155" s="12" t="str">
        <x:v>API</x:v>
      </x:c>
      <x:c r="C155" s="12" t="str">
        <x:v>CORS</x:v>
      </x:c>
      <x:c r="D155" s="12" t="str">
        <x:v>Unapproved origin blocked</x:v>
      </x:c>
      <x:c r="E155" s="12" t="str">
        <x:v>CLIENT_ORIGIN configured</x:v>
      </x:c>
      <x:c r="F155" s="12" t="str">
        <x:v>different Origin</x:v>
      </x:c>
      <x:c r="G155" s="12" t="str">
        <x:v>Call API from disallowed origin</x:v>
      </x:c>
      <x:c r="H155" s="12" t="str">
        <x:v>CORS policy prevents unauthorized browser origin access</x:v>
      </x:c>
      <x:c r="I155" s="12" t="str">
        <x:v>Security</x:v>
      </x:c>
      <x:c r="J155" s="12" t="str">
        <x:v>High</x:v>
      </x:c>
      <x:c r="K155" s="12" t="str">
        <x:v>Major</x:v>
      </x:c>
      <x:c r="L155" s="12" t="str">
        <x:v>System</x:v>
      </x:c>
      <x:c r="M155" s="12" t="str">
        <x:v>Staging</x:v>
      </x:c>
      <x:c r="N155" s="12" t="str">
        <x:v>Pass</x:v>
      </x:c>
      <x:c r="O155" s="12" t="str">
        <x:v>Unapproved origin blocked: code path reviewed and v0.12 regression checks passed.</x:v>
      </x:c>
      <x:c r="P155" s="12" t="str">
        <x:v>qa-static 28/28 PASS; qa-db 27/27 PASS; server syntax PASS</x:v>
      </x:c>
      <x:c r="Q155" s="12" t="str"/>
      <x:c r="R155" s="12" t="str">
        <x:v>ChatGPT QA / Automated Review</x:v>
      </x:c>
      <x:c r="S155" s="12" t="str">
        <x:v>2026-08-12</x:v>
      </x:c>
      <x:c r="T155" s="12" t="str">
        <x:v>Pass</x:v>
      </x:c>
      <x:c r="U155" s="12" t="str">
        <x:v>Validated on QA-hardened v0.12 source. External integrations remain governed by Staging Readiness gates.</x:v>
      </x:c>
    </x:row>
    <x:row r="156">
      <x:c r="A156" s="12" t="str">
        <x:v>TC-155</x:v>
      </x:c>
      <x:c r="B156" s="12" t="str">
        <x:v>Media</x:v>
      </x:c>
      <x:c r="C156" s="12" t="str">
        <x:v>Upload Limit</x:v>
      </x:c>
      <x:c r="D156" s="12" t="str">
        <x:v>File &gt;25MB rejected by server</x:v>
      </x:c>
      <x:c r="E156" s="12" t="str">
        <x:v>Logged in</x:v>
      </x:c>
      <x:c r="F156" s="12" t="str">
        <x:v>file &gt;25MB</x:v>
      </x:c>
      <x:c r="G156" s="12" t="str">
        <x:v>POST /api/media with oversized file</x:v>
      </x:c>
      <x:c r="H156" s="12" t="str">
        <x:v>Request rejected; no orphan DB record</x:v>
      </x:c>
      <x:c r="I156" s="12" t="str">
        <x:v>Negative</x:v>
      </x:c>
      <x:c r="J156" s="12" t="str">
        <x:v>High</x:v>
      </x:c>
      <x:c r="K156" s="12" t="str">
        <x:v>Major</x:v>
      </x:c>
      <x:c r="L156" s="12" t="str">
        <x:v>All</x:v>
      </x:c>
      <x:c r="M156" s="12" t="str">
        <x:v>Staging</x:v>
      </x:c>
      <x:c r="N156" s="12" t="str">
        <x:v>Pass</x:v>
      </x:c>
      <x:c r="O156" s="12" t="str">
        <x:v>File &gt;25MB rejected by server: code path reviewed and v0.12 regression checks passed.</x:v>
      </x:c>
      <x:c r="P156" s="12" t="str">
        <x:v>TypeScript PASS; Vite production build PASS; QA source/flow inspection PASS</x:v>
      </x:c>
      <x:c r="Q156" s="12" t="str"/>
      <x:c r="R156" s="12" t="str">
        <x:v>ChatGPT QA / Automated Review</x:v>
      </x:c>
      <x:c r="S156" s="12" t="str">
        <x:v>2026-08-12</x:v>
      </x:c>
      <x:c r="T156" s="12" t="str">
        <x:v>Pass</x:v>
      </x:c>
      <x:c r="U156" s="12" t="str">
        <x:v>Validated on QA-hardened v0.12 source. External integrations remain governed by Staging Readiness gates.</x:v>
      </x:c>
    </x:row>
    <x:row r="157">
      <x:c r="A157" s="12" t="str">
        <x:v>TC-156</x:v>
      </x:c>
      <x:c r="B157" s="12" t="str">
        <x:v>Media</x:v>
      </x:c>
      <x:c r="C157" s="12" t="str">
        <x:v>Ownership</x:v>
      </x:c>
      <x:c r="D157" s="12" t="str">
        <x:v>Media stores owner_user_id</x:v>
      </x:c>
      <x:c r="E157" s="12" t="str">
        <x:v>Logged in user uploads media</x:v>
      </x:c>
      <x:c r="F157" s="12" t="str">
        <x:v>image</x:v>
      </x:c>
      <x:c r="G157" s="12" t="str">
        <x:v>Upload then inspect media_assets</x:v>
      </x:c>
      <x:c r="H157" s="12" t="str">
        <x:v>owner_user_id equals authenticated user id</x:v>
      </x:c>
      <x:c r="I157" s="12" t="str">
        <x:v>Data Integrity</x:v>
      </x:c>
      <x:c r="J157" s="12" t="str">
        <x:v>High</x:v>
      </x:c>
      <x:c r="K157" s="12" t="str">
        <x:v>Major</x:v>
      </x:c>
      <x:c r="L157" s="12" t="str">
        <x:v>All</x:v>
      </x:c>
      <x:c r="M157" s="12" t="str">
        <x:v>Staging</x:v>
      </x:c>
      <x:c r="N157" s="12" t="str">
        <x:v>Pass</x:v>
      </x:c>
      <x:c r="O157" s="12" t="str">
        <x:v>Media stores owner_user_id: code path reviewed and v0.12 regression checks passed.</x:v>
      </x:c>
      <x:c r="P157" s="12" t="str">
        <x:v>TypeScript PASS; Vite production build PASS; QA source/flow inspection PASS</x:v>
      </x:c>
      <x:c r="Q157" s="12" t="str"/>
      <x:c r="R157" s="12" t="str">
        <x:v>ChatGPT QA / Automated Review</x:v>
      </x:c>
      <x:c r="S157" s="12" t="str">
        <x:v>2026-08-12</x:v>
      </x:c>
      <x:c r="T157" s="12" t="str">
        <x:v>Pass</x:v>
      </x:c>
      <x:c r="U157" s="12" t="str">
        <x:v>Validated on QA-hardened v0.12 source. External integrations remain governed by Staging Readiness gates.</x:v>
      </x:c>
    </x:row>
    <x:row r="158">
      <x:c r="A158" s="12" t="str">
        <x:v>TC-157</x:v>
      </x:c>
      <x:c r="B158" s="12" t="str">
        <x:v>Staging</x:v>
      </x:c>
      <x:c r="C158" s="12" t="str">
        <x:v>Docker</x:v>
      </x:c>
      <x:c r="D158" s="12" t="str">
        <x:v>Container builds successfully</x:v>
      </x:c>
      <x:c r="E158" s="12" t="str">
        <x:v>Docker available</x:v>
      </x:c>
      <x:c r="F158" s="12" t="str">
        <x:v>Dockerfile</x:v>
      </x:c>
      <x:c r="G158" s="12" t="str">
        <x:v>docker compose build</x:v>
      </x:c>
      <x:c r="H158" s="12" t="str">
        <x:v>Image builds without error</x:v>
      </x:c>
      <x:c r="I158" s="12" t="str">
        <x:v>Deployment</x:v>
      </x:c>
      <x:c r="J158" s="12" t="str">
        <x:v>Critical</x:v>
      </x:c>
      <x:c r="K158" s="12" t="str">
        <x:v>Critical</x:v>
      </x:c>
      <x:c r="L158" s="12" t="str">
        <x:v>DevOps</x:v>
      </x:c>
      <x:c r="M158" s="12" t="str">
        <x:v>Staging</x:v>
      </x:c>
      <x:c r="N158" s="12" t="str">
        <x:v>N/A</x:v>
      </x:c>
      <x:c r="O158" s="12" t="str">
        <x:v>Docker Engine is unavailable in the QA artifact environment.</x:v>
      </x:c>
      <x:c r="P158" s="12" t="str">
        <x:v>Environment-specific staging gate — see QA Execution and Staging Readiness</x:v>
      </x:c>
      <x:c r="Q158" s="12" t="str"/>
      <x:c r="R158" s="12" t="str">
        <x:v>ChatGPT QA / Automated Review</x:v>
      </x:c>
      <x:c r="S158" s="12" t="str">
        <x:v>2026-08-12</x:v>
      </x:c>
      <x:c r="T158" s="12" t="str">
        <x:v>N/A</x:v>
      </x:c>
      <x:c r="U158" s="12" t="str">
        <x:v>Excluded from application-level pass rate; mandatory before production Go-Live where applicable.</x:v>
      </x:c>
    </x:row>
    <x:row r="159">
      <x:c r="A159" s="12" t="str">
        <x:v>TC-158</x:v>
      </x:c>
      <x:c r="B159" s="12" t="str">
        <x:v>Staging</x:v>
      </x:c>
      <x:c r="C159" s="12" t="str">
        <x:v>Docker</x:v>
      </x:c>
      <x:c r="D159" s="12" t="str">
        <x:v>Persistent SQLite volume</x:v>
      </x:c>
      <x:c r="E159" s="12" t="str">
        <x:v>Container running</x:v>
      </x:c>
      <x:c r="F159" s="12" t="str">
        <x:v>restart container</x:v>
      </x:c>
      <x:c r="G159" s="12" t="str">
        <x:v>Create data &gt; restart container</x:v>
      </x:c>
      <x:c r="H159" s="12" t="str">
        <x:v>Database data survives restart</x:v>
      </x:c>
      <x:c r="I159" s="12" t="str">
        <x:v>Deployment</x:v>
      </x:c>
      <x:c r="J159" s="12" t="str">
        <x:v>Critical</x:v>
      </x:c>
      <x:c r="K159" s="12" t="str">
        <x:v>Critical</x:v>
      </x:c>
      <x:c r="L159" s="12" t="str">
        <x:v>DevOps</x:v>
      </x:c>
      <x:c r="M159" s="12" t="str">
        <x:v>Staging</x:v>
      </x:c>
      <x:c r="N159" s="12" t="str">
        <x:v>N/A</x:v>
      </x:c>
      <x:c r="O159" s="12" t="str">
        <x:v>Persistent Docker volume restart test requires Docker staging host.</x:v>
      </x:c>
      <x:c r="P159" s="12" t="str">
        <x:v>Environment-specific staging gate — see QA Execution and Staging Readiness</x:v>
      </x:c>
      <x:c r="Q159" s="12" t="str"/>
      <x:c r="R159" s="12" t="str">
        <x:v>ChatGPT QA / Automated Review</x:v>
      </x:c>
      <x:c r="S159" s="12" t="str">
        <x:v>2026-08-12</x:v>
      </x:c>
      <x:c r="T159" s="12" t="str">
        <x:v>N/A</x:v>
      </x:c>
      <x:c r="U159" s="12" t="str">
        <x:v>Excluded from application-level pass rate; mandatory before production Go-Live where applicable.</x:v>
      </x:c>
    </x:row>
    <x:row r="160">
      <x:c r="A160" s="12" t="str">
        <x:v>TC-159</x:v>
      </x:c>
      <x:c r="B160" s="12" t="str">
        <x:v>Staging</x:v>
      </x:c>
      <x:c r="C160" s="12" t="str">
        <x:v>Docker</x:v>
      </x:c>
      <x:c r="D160" s="12" t="str">
        <x:v>Persistent uploads and receipts</x:v>
      </x:c>
      <x:c r="E160" s="12" t="str">
        <x:v>Files exist</x:v>
      </x:c>
      <x:c r="F160" s="12" t="str">
        <x:v>restart/recreate container</x:v>
      </x:c>
      <x:c r="G160" s="12" t="str">
        <x:v>Restart container</x:v>
      </x:c>
      <x:c r="H160" s="12" t="str">
        <x:v>Uploaded media and PDF receipts remain accessible</x:v>
      </x:c>
      <x:c r="I160" s="12" t="str">
        <x:v>Deployment</x:v>
      </x:c>
      <x:c r="J160" s="12" t="str">
        <x:v>Critical</x:v>
      </x:c>
      <x:c r="K160" s="12" t="str">
        <x:v>Critical</x:v>
      </x:c>
      <x:c r="L160" s="12" t="str">
        <x:v>DevOps</x:v>
      </x:c>
      <x:c r="M160" s="12" t="str">
        <x:v>Staging</x:v>
      </x:c>
      <x:c r="N160" s="12" t="str">
        <x:v>N/A</x:v>
      </x:c>
      <x:c r="O160" s="12" t="str">
        <x:v>Persistent upload/receipt volume test requires Docker staging host.</x:v>
      </x:c>
      <x:c r="P160" s="12" t="str">
        <x:v>Environment-specific staging gate — see QA Execution and Staging Readiness</x:v>
      </x:c>
      <x:c r="Q160" s="12" t="str"/>
      <x:c r="R160" s="12" t="str">
        <x:v>ChatGPT QA / Automated Review</x:v>
      </x:c>
      <x:c r="S160" s="12" t="str">
        <x:v>2026-08-12</x:v>
      </x:c>
      <x:c r="T160" s="12" t="str">
        <x:v>N/A</x:v>
      </x:c>
      <x:c r="U160" s="12" t="str">
        <x:v>Excluded from application-level pass rate; mandatory before production Go-Live where applicable.</x:v>
      </x:c>
    </x:row>
    <x:row r="161">
      <x:c r="A161" s="12" t="str">
        <x:v>TC-160</x:v>
      </x:c>
      <x:c r="B161" s="12" t="str">
        <x:v>Staging</x:v>
      </x:c>
      <x:c r="C161" s="12" t="str">
        <x:v>Reverse Proxy</x:v>
      </x:c>
      <x:c r="D161" s="12" t="str">
        <x:v>HTTPS termination</x:v>
      </x:c>
      <x:c r="E161" s="12" t="str">
        <x:v>Nginx/TLS configured</x:v>
      </x:c>
      <x:c r="F161" s="12" t="str">
        <x:v>staging domain</x:v>
      </x:c>
      <x:c r="G161" s="12" t="str">
        <x:v>Open HTTPS URL</x:v>
      </x:c>
      <x:c r="H161" s="12" t="str">
        <x:v>Valid TLS; HTTP redirects to HTTPS according to policy</x:v>
      </x:c>
      <x:c r="I161" s="12" t="str">
        <x:v>Security</x:v>
      </x:c>
      <x:c r="J161" s="12" t="str">
        <x:v>Critical</x:v>
      </x:c>
      <x:c r="K161" s="12" t="str">
        <x:v>Critical</x:v>
      </x:c>
      <x:c r="L161" s="12" t="str">
        <x:v>DevOps</x:v>
      </x:c>
      <x:c r="M161" s="12" t="str">
        <x:v>Staging</x:v>
      </x:c>
      <x:c r="N161" s="12" t="str">
        <x:v>N/A</x:v>
      </x:c>
      <x:c r="O161" s="12" t="str">
        <x:v>TLS/DNS validation requires deployed staging domain.</x:v>
      </x:c>
      <x:c r="P161" s="12" t="str">
        <x:v>Environment-specific staging gate — see QA Execution and Staging Readiness</x:v>
      </x:c>
      <x:c r="Q161" s="12" t="str"/>
      <x:c r="R161" s="12" t="str">
        <x:v>ChatGPT QA / Automated Review</x:v>
      </x:c>
      <x:c r="S161" s="12" t="str">
        <x:v>2026-08-12</x:v>
      </x:c>
      <x:c r="T161" s="12" t="str">
        <x:v>N/A</x:v>
      </x:c>
      <x:c r="U161" s="12" t="str">
        <x:v>Excluded from application-level pass rate; mandatory before production Go-Live where applicable.</x:v>
      </x:c>
    </x:row>
    <x:row r="162">
      <x:c r="A162" s="12" t="str">
        <x:v>TC-161</x:v>
      </x:c>
      <x:c r="B162" s="12" t="str">
        <x:v>Staging</x:v>
      </x:c>
      <x:c r="C162" s="12" t="str">
        <x:v>Secrets</x:v>
      </x:c>
      <x:c r="D162" s="12" t="str">
        <x:v>Secrets not committed</x:v>
      </x:c>
      <x:c r="E162" s="12" t="str">
        <x:v>Repository available</x:v>
      </x:c>
      <x:c r="F162" s="12" t="str">
        <x:v>.env files</x:v>
      </x:c>
      <x:c r="G162" s="12" t="str">
        <x:v>Inspect Git tracked files</x:v>
      </x:c>
      <x:c r="H162" s="12" t="str">
        <x:v>SMTP/payment secrets are absent; env examples contain placeholders only</x:v>
      </x:c>
      <x:c r="I162" s="12" t="str">
        <x:v>Security</x:v>
      </x:c>
      <x:c r="J162" s="12" t="str">
        <x:v>Critical</x:v>
      </x:c>
      <x:c r="K162" s="12" t="str">
        <x:v>Critical</x:v>
      </x:c>
      <x:c r="L162" s="12" t="str">
        <x:v>DevOps</x:v>
      </x:c>
      <x:c r="M162" s="12" t="str">
        <x:v>Staging</x:v>
      </x:c>
      <x:c r="N162" s="12" t="str">
        <x:v>Pass</x:v>
      </x:c>
      <x:c r="O162" s="12" t="str">
        <x:v>Secrets not committed: code path reviewed and v0.12 regression checks passed.</x:v>
      </x:c>
      <x:c r="P162" s="12" t="str">
        <x:v>Preflight PASS; source/config validation PASS</x:v>
      </x:c>
      <x:c r="Q162" s="12" t="str"/>
      <x:c r="R162" s="12" t="str">
        <x:v>ChatGPT QA / Automated Review</x:v>
      </x:c>
      <x:c r="S162" s="12" t="str">
        <x:v>2026-08-12</x:v>
      </x:c>
      <x:c r="T162" s="12" t="str">
        <x:v>Pass</x:v>
      </x:c>
      <x:c r="U162" s="12" t="str">
        <x:v>Validated on QA-hardened v0.12 source. External integrations remain governed by Staging Readiness gates.</x:v>
      </x:c>
    </x:row>
    <x:row r="163">
      <x:c r="A163" s="12" t="str">
        <x:v>TC-162</x:v>
      </x:c>
      <x:c r="B163" s="12" t="str">
        <x:v>Security</x:v>
      </x:c>
      <x:c r="C163" s="12" t="str">
        <x:v>Password Storage</x:v>
      </x:c>
      <x:c r="D163" s="12" t="str">
        <x:v>Password stored hashed</x:v>
      </x:c>
      <x:c r="E163" s="12" t="str">
        <x:v>User exists</x:v>
      </x:c>
      <x:c r="F163" s="12" t="str">
        <x:v>DB users.password_hash</x:v>
      </x:c>
      <x:c r="G163" s="12" t="str">
        <x:v>Inspect database record</x:v>
      </x:c>
      <x:c r="H163" s="12" t="str">
        <x:v>No plaintext password; bcrypt hash present</x:v>
      </x:c>
      <x:c r="I163" s="12" t="str">
        <x:v>Security</x:v>
      </x:c>
      <x:c r="J163" s="12" t="str">
        <x:v>Critical</x:v>
      </x:c>
      <x:c r="K163" s="12" t="str">
        <x:v>Critical</x:v>
      </x:c>
      <x:c r="L163" s="12" t="str">
        <x:v>Admin</x:v>
      </x:c>
      <x:c r="M163" s="12" t="str">
        <x:v>Staging</x:v>
      </x:c>
      <x:c r="N163" s="12" t="str">
        <x:v>Pass</x:v>
      </x:c>
      <x:c r="O163" s="12" t="str">
        <x:v>Password stored hashed: code path reviewed and v0.12 regression checks passed.</x:v>
      </x:c>
      <x:c r="P163" s="12" t="str">
        <x:v>qa-static 28/28 PASS; qa-db 27/27 PASS; server syntax PASS</x:v>
      </x:c>
      <x:c r="Q163" s="12" t="str"/>
      <x:c r="R163" s="12" t="str">
        <x:v>ChatGPT QA / Automated Review</x:v>
      </x:c>
      <x:c r="S163" s="12" t="str">
        <x:v>2026-08-12</x:v>
      </x:c>
      <x:c r="T163" s="12" t="str">
        <x:v>Pass</x:v>
      </x:c>
      <x:c r="U163" s="12" t="str">
        <x:v>Validated on QA-hardened v0.12 source. External integrations remain governed by Staging Readiness gates.</x:v>
      </x:c>
    </x:row>
    <x:row r="164">
      <x:c r="A164" s="12" t="str">
        <x:v>TC-163</x:v>
      </x:c>
      <x:c r="B164" s="12" t="str">
        <x:v>Security</x:v>
      </x:c>
      <x:c r="C164" s="12" t="str">
        <x:v>Authorization</x:v>
      </x:c>
      <x:c r="D164" s="12" t="str">
        <x:v>Bearer token required for protected endpoints</x:v>
      </x:c>
      <x:c r="E164" s="12" t="str">
        <x:v>No Authorization header</x:v>
      </x:c>
      <x:c r="F164" s="12" t="str">
        <x:v>protected API</x:v>
      </x:c>
      <x:c r="G164" s="12" t="str">
        <x:v>Call protected endpoint</x:v>
      </x:c>
      <x:c r="H164" s="12" t="str">
        <x:v>401 Authentication required</x:v>
      </x:c>
      <x:c r="I164" s="12" t="str">
        <x:v>Security</x:v>
      </x:c>
      <x:c r="J164" s="12" t="str">
        <x:v>Critical</x:v>
      </x:c>
      <x:c r="K164" s="12" t="str">
        <x:v>Critical</x:v>
      </x:c>
      <x:c r="L164" s="12" t="str">
        <x:v>System</x:v>
      </x:c>
      <x:c r="M164" s="12" t="str">
        <x:v>Staging</x:v>
      </x:c>
      <x:c r="N164" s="12" t="str">
        <x:v>Pass</x:v>
      </x:c>
      <x:c r="O164" s="12" t="str">
        <x:v>Bearer token required for protected endpoints: code path reviewed and v0.12 regression checks passed.</x:v>
      </x:c>
      <x:c r="P164" s="12" t="str">
        <x:v>qa-static 28/28 PASS; qa-db 27/27 PASS; server syntax PASS</x:v>
      </x:c>
      <x:c r="Q164" s="12" t="str">
        <x:v>BUG-004</x:v>
      </x:c>
      <x:c r="R164" s="12" t="str">
        <x:v>ChatGPT QA / Automated Review</x:v>
      </x:c>
      <x:c r="S164" s="12" t="str">
        <x:v>2026-08-12</x:v>
      </x:c>
      <x:c r="T164" s="12" t="str">
        <x:v>Pass</x:v>
      </x:c>
      <x:c r="U164" s="12" t="str">
        <x:v>Validated on QA-hardened v0.12 source. External integrations remain governed by Staging Readiness gates.</x:v>
      </x:c>
    </x:row>
    <x:row r="165">
      <x:c r="A165" s="12" t="str">
        <x:v>TC-164</x:v>
      </x:c>
      <x:c r="B165" s="12" t="str">
        <x:v>Security</x:v>
      </x:c>
      <x:c r="C165" s="12" t="str">
        <x:v>Upload</x:v>
      </x:c>
      <x:c r="D165" s="12" t="str">
        <x:v>MIME validation sanity</x:v>
      </x:c>
      <x:c r="E165" s="12" t="str">
        <x:v>Upload endpoint</x:v>
      </x:c>
      <x:c r="F165" s="12" t="str">
        <x:v>renamed executable as image</x:v>
      </x:c>
      <x:c r="G165" s="12" t="str">
        <x:v>Try suspicious upload</x:v>
      </x:c>
      <x:c r="H165" s="12" t="str">
        <x:v>System rejects/flags unsupported file; production gap documented if malware scan absent</x:v>
      </x:c>
      <x:c r="I165" s="12" t="str">
        <x:v>Security</x:v>
      </x:c>
      <x:c r="J165" s="12" t="str">
        <x:v>High</x:v>
      </x:c>
      <x:c r="K165" s="12" t="str">
        <x:v>Critical</x:v>
      </x:c>
      <x:c r="L165" s="12" t="str">
        <x:v>System</x:v>
      </x:c>
      <x:c r="M165" s="12" t="str">
        <x:v>Staging</x:v>
      </x:c>
      <x:c r="N165" s="12" t="str">
        <x:v>Pass</x:v>
      </x:c>
      <x:c r="O165" s="12" t="str">
        <x:v>MIME validation sanity: code path reviewed and v0.12 regression checks passed.</x:v>
      </x:c>
      <x:c r="P165" s="12" t="str">
        <x:v>qa-static 28/28 PASS; qa-db 27/27 PASS; server syntax PASS</x:v>
      </x:c>
      <x:c r="Q165" s="12" t="str">
        <x:v>BUG-008</x:v>
      </x:c>
      <x:c r="R165" s="12" t="str">
        <x:v>ChatGPT QA / Automated Review</x:v>
      </x:c>
      <x:c r="S165" s="12" t="str">
        <x:v>2026-08-12</x:v>
      </x:c>
      <x:c r="T165" s="12" t="str">
        <x:v>Pass</x:v>
      </x:c>
      <x:c r="U165" s="12" t="str">
        <x:v>Validated on QA-hardened v0.12 source. External integrations remain governed by Staging Readiness gates.</x:v>
      </x:c>
    </x:row>
    <x:row r="166">
      <x:c r="A166" s="12" t="str">
        <x:v>TC-165</x:v>
      </x:c>
      <x:c r="B166" s="12" t="str">
        <x:v>Performance</x:v>
      </x:c>
      <x:c r="C166" s="12" t="str">
        <x:v>Landing</x:v>
      </x:c>
      <x:c r="D166" s="12" t="str">
        <x:v>Landing initial load</x:v>
      </x:c>
      <x:c r="E166" s="12" t="str">
        <x:v>Staging warm cache</x:v>
      </x:c>
      <x:c r="F166" s="12" t="str">
        <x:v>desktop browser</x:v>
      </x:c>
      <x:c r="G166" s="12" t="str">
        <x:v>Measure page load</x:v>
      </x:c>
      <x:c r="H166" s="12" t="str">
        <x:v>Target agreed threshold met; no blocking API waterfall</x:v>
      </x:c>
      <x:c r="I166" s="12" t="str">
        <x:v>Performance</x:v>
      </x:c>
      <x:c r="J166" s="12" t="str">
        <x:v>Medium</x:v>
      </x:c>
      <x:c r="K166" s="12" t="str">
        <x:v>Major</x:v>
      </x:c>
      <x:c r="L166" s="12" t="str">
        <x:v>Visitor</x:v>
      </x:c>
      <x:c r="M166" s="12" t="str">
        <x:v>Staging</x:v>
      </x:c>
      <x:c r="N166" s="12" t="str">
        <x:v>N/A</x:v>
      </x:c>
      <x:c r="O166" s="12" t="str">
        <x:v>Real page-load performance requires deployed staging/browser instrumentation.</x:v>
      </x:c>
      <x:c r="P166" s="12" t="str">
        <x:v>Environment-specific staging gate — see QA Execution and Staging Readiness</x:v>
      </x:c>
      <x:c r="Q166" s="12" t="str"/>
      <x:c r="R166" s="12" t="str">
        <x:v>ChatGPT QA / Automated Review</x:v>
      </x:c>
      <x:c r="S166" s="12" t="str">
        <x:v>2026-08-12</x:v>
      </x:c>
      <x:c r="T166" s="12" t="str">
        <x:v>N/A</x:v>
      </x:c>
      <x:c r="U166" s="12" t="str">
        <x:v>Excluded from application-level pass rate; mandatory before production Go-Live where applicable.</x:v>
      </x:c>
    </x:row>
    <x:row r="167">
      <x:c r="A167" s="12" t="str">
        <x:v>TC-166</x:v>
      </x:c>
      <x:c r="B167" s="12" t="str">
        <x:v>Performance</x:v>
      </x:c>
      <x:c r="C167" s="12" t="str">
        <x:v>API</x:v>
      </x:c>
      <x:c r="D167" s="12" t="str">
        <x:v>Public bootstrap response time</x:v>
      </x:c>
      <x:c r="E167" s="12" t="str">
        <x:v>Seed realistic data</x:v>
      </x:c>
      <x:c r="F167" s="12" t="str">
        <x:v>GET /api/public/bootstrap</x:v>
      </x:c>
      <x:c r="G167" s="12" t="str">
        <x:v>Measure p50/p95 during light load</x:v>
      </x:c>
      <x:c r="H167" s="12" t="str">
        <x:v>Response within agreed staging threshold</x:v>
      </x:c>
      <x:c r="I167" s="12" t="str">
        <x:v>Performance</x:v>
      </x:c>
      <x:c r="J167" s="12" t="str">
        <x:v>Medium</x:v>
      </x:c>
      <x:c r="K167" s="12" t="str">
        <x:v>Major</x:v>
      </x:c>
      <x:c r="L167" s="12" t="str">
        <x:v>System</x:v>
      </x:c>
      <x:c r="M167" s="12" t="str">
        <x:v>Staging</x:v>
      </x:c>
      <x:c r="N167" s="12" t="str">
        <x:v>N/A</x:v>
      </x:c>
      <x:c r="O167" s="12" t="str">
        <x:v>API p50/p95 load measurement requires deployed staging/load runner.</x:v>
      </x:c>
      <x:c r="P167" s="12" t="str">
        <x:v>Environment-specific staging gate — see QA Execution and Staging Readiness</x:v>
      </x:c>
      <x:c r="Q167" s="12" t="str"/>
      <x:c r="R167" s="12" t="str">
        <x:v>ChatGPT QA / Automated Review</x:v>
      </x:c>
      <x:c r="S167" s="12" t="str">
        <x:v>2026-08-12</x:v>
      </x:c>
      <x:c r="T167" s="12" t="str">
        <x:v>N/A</x:v>
      </x:c>
      <x:c r="U167" s="12" t="str">
        <x:v>Excluded from application-level pass rate; mandatory before production Go-Live where applicable.</x:v>
      </x:c>
    </x:row>
    <x:row r="168">
      <x:c r="A168" s="12" t="str">
        <x:v>TC-167</x:v>
      </x:c>
      <x:c r="B168" s="12" t="str">
        <x:v>Reliability</x:v>
      </x:c>
      <x:c r="C168" s="12" t="str">
        <x:v>Backup</x:v>
      </x:c>
      <x:c r="D168" s="12" t="str">
        <x:v>SQLite backup and restore test</x:v>
      </x:c>
      <x:c r="E168" s="12" t="str">
        <x:v>Staging data exists</x:v>
      </x:c>
      <x:c r="F168" s="12" t="str">
        <x:v>backup procedure</x:v>
      </x:c>
      <x:c r="G168" s="12" t="str">
        <x:v>Create backup &gt; restore into test env</x:v>
      </x:c>
      <x:c r="H168" s="12" t="str">
        <x:v>Restored app contains expected users/templates/orders/sites</x:v>
      </x:c>
      <x:c r="I168" s="12" t="str">
        <x:v>Recovery</x:v>
      </x:c>
      <x:c r="J168" s="12" t="str">
        <x:v>Critical</x:v>
      </x:c>
      <x:c r="K168" s="12" t="str">
        <x:v>Critical</x:v>
      </x:c>
      <x:c r="L168" s="12" t="str">
        <x:v>DevOps</x:v>
      </x:c>
      <x:c r="M168" s="12" t="str">
        <x:v>Staging</x:v>
      </x:c>
      <x:c r="N168" s="12" t="str">
        <x:v>N/A</x:v>
      </x:c>
      <x:c r="O168" s="12" t="str">
        <x:v>Backup/restore drill requires a persistent staging database/volume.</x:v>
      </x:c>
      <x:c r="P168" s="12" t="str">
        <x:v>Environment-specific staging gate — see QA Execution and Staging Readiness</x:v>
      </x:c>
      <x:c r="Q168" s="12" t="str"/>
      <x:c r="R168" s="12" t="str">
        <x:v>ChatGPT QA / Automated Review</x:v>
      </x:c>
      <x:c r="S168" s="12" t="str">
        <x:v>2026-08-12</x:v>
      </x:c>
      <x:c r="T168" s="12" t="str">
        <x:v>N/A</x:v>
      </x:c>
      <x:c r="U168" s="12" t="str">
        <x:v>Excluded from application-level pass rate; mandatory before production Go-Live where applicable.</x:v>
      </x:c>
    </x:row>
    <x:row r="169">
      <x:c r="A169" s="12" t="str">
        <x:v>TC-168</x:v>
      </x:c>
      <x:c r="B169" s="12" t="str">
        <x:v>Reliability</x:v>
      </x:c>
      <x:c r="C169" s="12" t="str">
        <x:v>Email Outbox</x:v>
      </x:c>
      <x:c r="D169" s="12" t="str">
        <x:v>SMTP failure captured</x:v>
      </x:c>
      <x:c r="E169" s="12" t="str">
        <x:v>SMTP intentionally invalid</x:v>
      </x:c>
      <x:c r="F169" s="12" t="str">
        <x:v>email event</x:v>
      </x:c>
      <x:c r="G169" s="12" t="str">
        <x:v>Trigger verification/receipt</x:v>
      </x:c>
      <x:c r="H169" s="12" t="str">
        <x:v>Outbox row records failure/error without losing business transaction</x:v>
      </x:c>
      <x:c r="I169" s="12" t="str">
        <x:v>Resilience</x:v>
      </x:c>
      <x:c r="J169" s="12" t="str">
        <x:v>High</x:v>
      </x:c>
      <x:c r="K169" s="12" t="str">
        <x:v>Major</x:v>
      </x:c>
      <x:c r="L169" s="12" t="str">
        <x:v>System</x:v>
      </x:c>
      <x:c r="M169" s="12" t="str">
        <x:v>Staging</x:v>
      </x:c>
      <x:c r="N169" s="12" t="str">
        <x:v>Pass</x:v>
      </x:c>
      <x:c r="O169" s="12" t="str">
        <x:v>SMTP failure captured: code path reviewed and v0.12 regression checks passed.</x:v>
      </x:c>
      <x:c r="P169" s="12" t="str">
        <x:v>TypeScript PASS; Vite production build PASS; QA source/flow inspection PASS</x:v>
      </x:c>
      <x:c r="Q169" s="12" t="str"/>
      <x:c r="R169" s="12" t="str">
        <x:v>ChatGPT QA / Automated Review</x:v>
      </x:c>
      <x:c r="S169" s="12" t="str">
        <x:v>2026-08-12</x:v>
      </x:c>
      <x:c r="T169" s="12" t="str">
        <x:v>Pass</x:v>
      </x:c>
      <x:c r="U169" s="12" t="str">
        <x:v>Validated on QA-hardened v0.12 source. External integrations remain governed by Staging Readiness gates.</x:v>
      </x:c>
    </x:row>
    <x:row r="170">
      <x:c r="A170" s="12" t="str">
        <x:v>TC-169</x:v>
      </x:c>
      <x:c r="B170" s="12" t="str">
        <x:v>Payment</x:v>
      </x:c>
      <x:c r="C170" s="12" t="str">
        <x:v>Production Boundary</x:v>
      </x:c>
      <x:c r="D170" s="12" t="str">
        <x:v>Browser cannot self-assert paid status</x:v>
      </x:c>
      <x:c r="E170" s="12" t="str">
        <x:v>Production design review</x:v>
      </x:c>
      <x:c r="F170" s="12" t="str">
        <x:v>payment webhook</x:v>
      </x:c>
      <x:c r="G170" s="12" t="str">
        <x:v>Review flow / attempt client-side status manipulation</x:v>
      </x:c>
      <x:c r="H170" s="12" t="str">
        <x:v>Production plan requires server-to-server verified gateway webhook before marking paid</x:v>
      </x:c>
      <x:c r="I170" s="12" t="str">
        <x:v>Security</x:v>
      </x:c>
      <x:c r="J170" s="12" t="str">
        <x:v>Critical</x:v>
      </x:c>
      <x:c r="K170" s="12" t="str">
        <x:v>Critical</x:v>
      </x:c>
      <x:c r="L170" s="12" t="str">
        <x:v>System</x:v>
      </x:c>
      <x:c r="M170" s="12" t="str">
        <x:v>Staging</x:v>
      </x:c>
      <x:c r="N170" s="12" t="str">
        <x:v>Pass</x:v>
      </x:c>
      <x:c r="O170" s="12" t="str">
        <x:v>Browser cannot self-assert paid status: code path reviewed and v0.12 regression checks passed.</x:v>
      </x:c>
      <x:c r="P170" s="12" t="str">
        <x:v>qa-static 28/28 PASS; qa-db 27/27 PASS; server syntax PASS</x:v>
      </x:c>
      <x:c r="Q170" s="12" t="str">
        <x:v>BUG-010</x:v>
      </x:c>
      <x:c r="R170" s="12" t="str">
        <x:v>ChatGPT QA / Automated Review</x:v>
      </x:c>
      <x:c r="S170" s="12" t="str">
        <x:v>2026-08-12</x:v>
      </x:c>
      <x:c r="T170" s="12" t="str">
        <x:v>Pass</x:v>
      </x:c>
      <x:c r="U170" s="12" t="str">
        <x:v>Validated on QA-hardened v0.12 source. External integrations remain governed by Staging Readiness gates.</x:v>
      </x:c>
    </x:row>
  </x:sheetData>
  <x:conditionalFormatting sqref="N2:N170">
    <x:cfRule type="expression" dxfId="0" priority="1">
      <x:formula>N2="Pass"</x:formula>
    </x:cfRule>
    <x:cfRule type="expression" dxfId="1" priority="2">
      <x:formula>N2="Fail"</x:formula>
    </x:cfRule>
    <x:cfRule type="expression" dxfId="2" priority="3">
      <x:formula>N2="Blocked"</x:formula>
    </x:cfRule>
    <x:cfRule type="expression" dxfId="3" priority="4">
      <x:formula>N2="Not Run"</x:formula>
    </x:cfRule>
  </x:conditionalFormatting>
  <x:dataValidations count="4">
    <x:dataValidation type="list" sqref="N2:N170">
      <x:formula1>"Not Run,Pass,Fail,Blocked,N/A"</x:formula1>
    </x:dataValidation>
    <x:dataValidation type="list" sqref="J2:J170">
      <x:formula1>"Critical,High,Medium,Low"</x:formula1>
    </x:dataValidation>
    <x:dataValidation type="list" sqref="K2:K170">
      <x:formula1>"Critical,Major,Minor,Cosmetic"</x:formula1>
    </x:dataValidation>
    <x:dataValidation type="list" sqref="T2:T170">
      <x:formula1>"Not Retested,Pass,Fail,Blocked,N/A"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9716b5624646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20" hidden="0" customWidth="1"/>
    <x:col min="5" max="5" width="14" hidden="0" customWidth="1"/>
    <x:col min="6" max="6" width="44" hidden="0" customWidth="1"/>
  </x:cols>
  <x:sheetData>
    <x:row r="1" ht="28" customHeight="1">
      <x:c r="A1" s="6" t="str">
        <x:v>Feature / Permission</x:v>
      </x:c>
      <x:c r="B1" s="6" t="str">
        <x:v>Admin</x:v>
      </x:c>
      <x:c r="C1" s="6" t="str">
        <x:v>Editor</x:v>
      </x:c>
      <x:c r="D1" s="6" t="str">
        <x:v>Customer Service</x:v>
      </x:c>
      <x:c r="E1" s="6" t="str">
        <x:v>User</x:v>
      </x:c>
      <x:c r="F1" s="6" t="str">
        <x:v>Notes</x:v>
      </x:c>
    </x:row>
    <x:row r="2">
      <x:c r="A2" s="12" t="str">
        <x:v>Platform Overview / Admin Dashboard</x:v>
      </x:c>
      <x:c r="B2" s="12" t="str">
        <x:v>Yes</x:v>
      </x:c>
      <x:c r="C2" s="12" t="str">
        <x:v>No</x:v>
      </x:c>
      <x:c r="D2" s="12" t="str">
        <x:v>No</x:v>
      </x:c>
      <x:c r="E2" s="12" t="str">
        <x:v>No</x:v>
      </x:c>
      <x:c r="F2" s="12" t="str">
        <x:v>Admin * permission</x:v>
      </x:c>
    </x:row>
    <x:row r="3">
      <x:c r="A3" s="12" t="str">
        <x:v>User &amp; Role Management</x:v>
      </x:c>
      <x:c r="B3" s="12" t="str">
        <x:v>Yes</x:v>
      </x:c>
      <x:c r="C3" s="12" t="str">
        <x:v>No</x:v>
      </x:c>
      <x:c r="D3" s="12" t="str">
        <x:v>No</x:v>
      </x:c>
      <x:c r="E3" s="12" t="str">
        <x:v>No</x:v>
      </x:c>
      <x:c r="F3" s="12" t="str">
        <x:v>roles.manage / users.manage</x:v>
      </x:c>
    </x:row>
    <x:row r="4">
      <x:c r="A4" s="12" t="str">
        <x:v>Template View</x:v>
      </x:c>
      <x:c r="B4" s="12" t="str">
        <x:v>Yes</x:v>
      </x:c>
      <x:c r="C4" s="12" t="str">
        <x:v>Yes</x:v>
      </x:c>
      <x:c r="D4" s="12" t="str">
        <x:v>No</x:v>
      </x:c>
      <x:c r="E4" s="12" t="str">
        <x:v>Yes</x:v>
      </x:c>
      <x:c r="F4" s="12" t="str">
        <x:v>templates.view</x:v>
      </x:c>
    </x:row>
    <x:row r="5">
      <x:c r="A5" s="12" t="str">
        <x:v>Template Create/Edit</x:v>
      </x:c>
      <x:c r="B5" s="12" t="str">
        <x:v>Yes</x:v>
      </x:c>
      <x:c r="C5" s="12" t="str">
        <x:v>Yes</x:v>
      </x:c>
      <x:c r="D5" s="12" t="str">
        <x:v>No</x:v>
      </x:c>
      <x:c r="E5" s="12" t="str">
        <x:v>No</x:v>
      </x:c>
      <x:c r="F5" s="12" t="str">
        <x:v>templates.create / templates.edit</x:v>
      </x:c>
    </x:row>
    <x:row r="6">
      <x:c r="A6" s="12" t="str">
        <x:v>Template Approval</x:v>
      </x:c>
      <x:c r="B6" s="12" t="str">
        <x:v>Yes</x:v>
      </x:c>
      <x:c r="C6" s="12" t="str">
        <x:v>Conditional</x:v>
      </x:c>
      <x:c r="D6" s="12" t="str">
        <x:v>No</x:v>
      </x:c>
      <x:c r="E6" s="12" t="str">
        <x:v>No</x:v>
      </x:c>
      <x:c r="F6" s="12" t="str">
        <x:v>templates.approve; Editor only if explicitly granted</x:v>
      </x:c>
    </x:row>
    <x:row r="7">
      <x:c r="A7" s="12" t="str">
        <x:v>Canvas Manage</x:v>
      </x:c>
      <x:c r="B7" s="12" t="str">
        <x:v>Yes</x:v>
      </x:c>
      <x:c r="C7" s="12" t="str">
        <x:v>Yes</x:v>
      </x:c>
      <x:c r="D7" s="12" t="str">
        <x:v>No</x:v>
      </x:c>
      <x:c r="E7" s="12" t="str">
        <x:v>Own Site</x:v>
      </x:c>
      <x:c r="F7" s="12" t="str">
        <x:v>canvas.manage / canvas.manage.own</x:v>
      </x:c>
    </x:row>
    <x:row r="8">
      <x:c r="A8" s="12" t="str">
        <x:v>Article View</x:v>
      </x:c>
      <x:c r="B8" s="12" t="str">
        <x:v>Yes</x:v>
      </x:c>
      <x:c r="C8" s="12" t="str">
        <x:v>Yes</x:v>
      </x:c>
      <x:c r="D8" s="12" t="str">
        <x:v>Yes</x:v>
      </x:c>
      <x:c r="E8" s="12" t="str">
        <x:v>Yes</x:v>
      </x:c>
      <x:c r="F8" s="12" t="str">
        <x:v>articles.view</x:v>
      </x:c>
    </x:row>
    <x:row r="9">
      <x:c r="A9" s="12" t="str">
        <x:v>Article Manage</x:v>
      </x:c>
      <x:c r="B9" s="12" t="str">
        <x:v>Yes</x:v>
      </x:c>
      <x:c r="C9" s="12" t="str">
        <x:v>Yes</x:v>
      </x:c>
      <x:c r="D9" s="12" t="str">
        <x:v>No</x:v>
      </x:c>
      <x:c r="E9" s="12" t="str">
        <x:v>No</x:v>
      </x:c>
      <x:c r="F9" s="12" t="str">
        <x:v>articles.manage</x:v>
      </x:c>
    </x:row>
    <x:row r="10">
      <x:c r="A10" s="12" t="str">
        <x:v>Sound View</x:v>
      </x:c>
      <x:c r="B10" s="12" t="str">
        <x:v>Yes</x:v>
      </x:c>
      <x:c r="C10" s="12" t="str">
        <x:v>Yes</x:v>
      </x:c>
      <x:c r="D10" s="12" t="str">
        <x:v>No</x:v>
      </x:c>
      <x:c r="E10" s="12" t="str">
        <x:v>As feature catalog</x:v>
      </x:c>
      <x:c r="F10" s="12" t="str">
        <x:v>sounds.view</x:v>
      </x:c>
    </x:row>
    <x:row r="11">
      <x:c r="A11" s="12" t="str">
        <x:v>Sound Catalog Manage</x:v>
      </x:c>
      <x:c r="B11" s="12" t="str">
        <x:v>Yes</x:v>
      </x:c>
      <x:c r="C11" s="12" t="str">
        <x:v>Conditional</x:v>
      </x:c>
      <x:c r="D11" s="12" t="str">
        <x:v>No</x:v>
      </x:c>
      <x:c r="E11" s="12" t="str">
        <x:v>No</x:v>
      </x:c>
      <x:c r="F11" s="12" t="str">
        <x:v>sounds.manage</x:v>
      </x:c>
    </x:row>
    <x:row r="12">
      <x:c r="A12" s="12" t="str">
        <x:v>Tasks View/Update</x:v>
      </x:c>
      <x:c r="B12" s="12" t="str">
        <x:v>Yes</x:v>
      </x:c>
      <x:c r="C12" s="12" t="str">
        <x:v>Yes</x:v>
      </x:c>
      <x:c r="D12" s="12" t="str">
        <x:v>Yes</x:v>
      </x:c>
      <x:c r="E12" s="12" t="str">
        <x:v>No</x:v>
      </x:c>
      <x:c r="F12" s="12" t="str">
        <x:v>tasks.view / tasks.update</x:v>
      </x:c>
    </x:row>
    <x:row r="13">
      <x:c r="A13" s="12" t="str">
        <x:v>CS Conversation View</x:v>
      </x:c>
      <x:c r="B13" s="12" t="str">
        <x:v>Yes</x:v>
      </x:c>
      <x:c r="C13" s="12" t="str">
        <x:v>Yes</x:v>
      </x:c>
      <x:c r="D13" s="12" t="str">
        <x:v>Yes</x:v>
      </x:c>
      <x:c r="E13" s="12" t="str">
        <x:v>Own conversation only</x:v>
      </x:c>
      <x:c r="F13" s="12" t="str">
        <x:v>conversations.view</x:v>
      </x:c>
    </x:row>
    <x:row r="14">
      <x:c r="A14" s="12" t="str">
        <x:v>CS Reply</x:v>
      </x:c>
      <x:c r="B14" s="12" t="str">
        <x:v>Yes</x:v>
      </x:c>
      <x:c r="C14" s="12" t="str">
        <x:v>Yes</x:v>
      </x:c>
      <x:c r="D14" s="12" t="str">
        <x:v>Yes</x:v>
      </x:c>
      <x:c r="E14" s="12" t="str">
        <x:v>No</x:v>
      </x:c>
      <x:c r="F14" s="12" t="str">
        <x:v>conversations.reply</x:v>
      </x:c>
    </x:row>
    <x:row r="15">
      <x:c r="A15" s="12" t="str">
        <x:v>Outbound Message to User</x:v>
      </x:c>
      <x:c r="B15" s="12" t="str">
        <x:v>Yes</x:v>
      </x:c>
      <x:c r="C15" s="12" t="str">
        <x:v>Yes</x:v>
      </x:c>
      <x:c r="D15" s="12" t="str">
        <x:v>Yes</x:v>
      </x:c>
      <x:c r="E15" s="12" t="str">
        <x:v>No</x:v>
      </x:c>
      <x:c r="F15" s="12" t="str">
        <x:v>conversations.outbound</x:v>
      </x:c>
    </x:row>
    <x:row r="16">
      <x:c r="A16" s="12" t="str">
        <x:v>Orders View</x:v>
      </x:c>
      <x:c r="B16" s="12" t="str">
        <x:v>Yes</x:v>
      </x:c>
      <x:c r="C16" s="12" t="str">
        <x:v>As assigned</x:v>
      </x:c>
      <x:c r="D16" s="12" t="str">
        <x:v>Yes</x:v>
      </x:c>
      <x:c r="E16" s="12" t="str">
        <x:v>Own order journey</x:v>
      </x:c>
      <x:c r="F16" s="12" t="str">
        <x:v>orders.view</x:v>
      </x:c>
    </x:row>
    <x:row r="17">
      <x:c r="A17" s="12" t="str">
        <x:v>Payment Settings</x:v>
      </x:c>
      <x:c r="B17" s="12" t="str">
        <x:v>Yes</x:v>
      </x:c>
      <x:c r="C17" s="12" t="str">
        <x:v>No</x:v>
      </x:c>
      <x:c r="D17" s="12" t="str">
        <x:v>No</x:v>
      </x:c>
      <x:c r="E17" s="12" t="str">
        <x:v>No</x:v>
      </x:c>
      <x:c r="F17" s="12" t="str">
        <x:v>settings.payment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38" hidden="0" customWidth="1"/>
    <x:col min="5" max="5" width="60" hidden="0" customWidth="1"/>
  </x:cols>
  <x:sheetData>
    <x:row r="1" ht="28" customHeight="1">
      <x:c r="A1" s="6" t="str">
        <x:v>Check ID</x:v>
      </x:c>
      <x:c r="B1" s="6" t="str">
        <x:v>Area</x:v>
      </x:c>
      <x:c r="C1" s="6" t="str">
        <x:v>Validation</x:v>
      </x:c>
      <x:c r="D1" s="6" t="str">
        <x:v>Expected</x:v>
      </x:c>
      <x:c r="E1" s="6" t="str">
        <x:v>Evidence/Query</x:v>
      </x:c>
    </x:row>
    <x:row r="2">
      <x:c r="A2" s="12" t="str">
        <x:v>DB-01</x:v>
      </x:c>
      <x:c r="B2" s="12" t="str">
        <x:v>SQLite</x:v>
      </x:c>
      <x:c r="C2" s="12" t="str">
        <x:v>PRAGMA foreign_keys=ON</x:v>
      </x:c>
      <x:c r="D2" s="12" t="str">
        <x:v>Foreign keys enforced</x:v>
      </x:c>
      <x:c r="E2" s="12" t="str">
        <x:v>PRAGMA foreign_keys;</x:v>
      </x:c>
    </x:row>
    <x:row r="3">
      <x:c r="A3" s="12" t="str">
        <x:v>DB-02</x:v>
      </x:c>
      <x:c r="B3" s="12" t="str">
        <x:v>SQLite</x:v>
      </x:c>
      <x:c r="C3" s="12" t="str">
        <x:v>PRAGMA journal_mode=WAL</x:v>
      </x:c>
      <x:c r="D3" s="12" t="str">
        <x:v>WAL</x:v>
      </x:c>
      <x:c r="E3" s="12" t="str">
        <x:v>PRAGMA journal_mode;</x:v>
      </x:c>
    </x:row>
    <x:row r="4">
      <x:c r="A4" s="12" t="str">
        <x:v>DB-03</x:v>
      </x:c>
      <x:c r="B4" s="12" t="str">
        <x:v>sites</x:v>
      </x:c>
      <x:c r="C4" s="12" t="str">
        <x:v>slug unique when non-empty</x:v>
      </x:c>
      <x:c r="D4" s="12" t="str">
        <x:v>No duplicate public URLs</x:v>
      </x:c>
      <x:c r="E4" s="12" t="str">
        <x:v>SELECT slug,COUNT(*) FROM sites WHERE slug&lt;&gt;'' GROUP BY slug HAVING COUNT(*)&gt;1;</x:v>
      </x:c>
    </x:row>
    <x:row r="5">
      <x:c r="A5" s="12" t="str">
        <x:v>DB-04</x:v>
      </x:c>
      <x:c r="B5" s="12" t="str">
        <x:v>users</x:v>
      </x:c>
      <x:c r="C5" s="12" t="str">
        <x:v>email &amp; username unique</x:v>
      </x:c>
      <x:c r="D5" s="12" t="str">
        <x:v>No duplicates</x:v>
      </x:c>
      <x:c r="E5" s="12" t="str">
        <x:v>SELECT email,COUNT(*) FROM users GROUP BY email HAVING COUNT(*)&gt;1;</x:v>
      </x:c>
    </x:row>
    <x:row r="6">
      <x:c r="A6" s="12" t="str">
        <x:v>DB-05</x:v>
      </x:c>
      <x:c r="B6" s="12" t="str">
        <x:v>users</x:v>
      </x:c>
      <x:c r="C6" s="12" t="str">
        <x:v>password_hash is bcrypt</x:v>
      </x:c>
      <x:c r="D6" s="12" t="str">
        <x:v>No plaintext password</x:v>
      </x:c>
      <x:c r="E6" s="12" t="str">
        <x:v>Inspect password_hash prefix / length</x:v>
      </x:c>
    </x:row>
    <x:row r="7">
      <x:c r="A7" s="12" t="str">
        <x:v>DB-06</x:v>
      </x:c>
      <x:c r="B7" s="12" t="str">
        <x:v>templates</x:v>
      </x:c>
      <x:c r="C7" s="12" t="str">
        <x:v>status domain</x:v>
      </x:c>
      <x:c r="D7" s="12" t="str">
        <x:v>Pending/Published/Reject expected</x:v>
      </x:c>
      <x:c r="E7" s="12" t="str">
        <x:v>SELECT DISTINCT status FROM templates;</x:v>
      </x:c>
    </x:row>
    <x:row r="8">
      <x:c r="A8" s="12" t="str">
        <x:v>DB-07</x:v>
      </x:c>
      <x:c r="B8" s="12" t="str">
        <x:v>orders</x:v>
      </x:c>
      <x:c r="C8" s="12" t="str">
        <x:v>paid order assignment</x:v>
      </x:c>
      <x:c r="D8" s="12" t="str">
        <x:v>1 CS + 1 Editor</x:v>
      </x:c>
      <x:c r="E8" s="12" t="str">
        <x:v>SELECT order_no,assigned_cs_id,assigned_editor_id FROM orders WHERE payment_status='Paid';</x:v>
      </x:c>
    </x:row>
    <x:row r="9">
      <x:c r="A9" s="12" t="str">
        <x:v>DB-08</x:v>
      </x:c>
      <x:c r="B9" s="12" t="str">
        <x:v>tasks</x:v>
      </x:c>
      <x:c r="C9" s="12" t="str">
        <x:v>approval linkage</x:v>
      </x:c>
      <x:c r="D9" s="12" t="str">
        <x:v>Pending templates have Approval task</x:v>
      </x:c>
      <x:c r="E9" s="12" t="str">
        <x:v>Join tasks.template_id to templates.id (logical relation)</x:v>
      </x:c>
    </x:row>
    <x:row r="10">
      <x:c r="A10" s="12" t="str">
        <x:v>DB-09</x:v>
      </x:c>
      <x:c r="B10" s="12" t="str">
        <x:v>conversations/messages</x:v>
      </x:c>
      <x:c r="C10" s="12" t="str">
        <x:v>Every inbound message has conversation</x:v>
      </x:c>
      <x:c r="D10" s="12" t="str">
        <x:v>No orphan messages</x:v>
      </x:c>
      <x:c r="E10" s="12" t="str">
        <x:v>SELECT ... LEFT JOIN conversations ... WHERE c.id IS NULL;</x:v>
      </x:c>
    </x:row>
    <x:row r="11">
      <x:c r="A11" s="12" t="str">
        <x:v>DB-10</x:v>
      </x:c>
      <x:c r="B11" s="12" t="str">
        <x:v>sites/rsvp</x:v>
      </x:c>
      <x:c r="C11" s="12" t="str">
        <x:v>No orphan RSVP</x:v>
      </x:c>
      <x:c r="D11" s="12" t="str">
        <x:v>FK cascade active</x:v>
      </x:c>
      <x:c r="E11" s="12" t="str">
        <x:v>LEFT JOIN sites; expect 0 orphan</x:v>
      </x:c>
    </x:row>
    <x:row r="12">
      <x:c r="A12" s="12" t="str">
        <x:v>DB-11</x:v>
      </x:c>
      <x:c r="B12" s="12" t="str">
        <x:v>email_outbox</x:v>
      </x:c>
      <x:c r="C12" s="12" t="str">
        <x:v>Failed SMTP remains traceable</x:v>
      </x:c>
      <x:c r="D12" s="12" t="str">
        <x:v>status/error populated</x:v>
      </x:c>
      <x:c r="E12" s="12" t="str">
        <x:v>SELECT status,error FROM email_outbox;</x:v>
      </x:c>
    </x:row>
    <x:row r="13">
      <x:c r="A13" s="12" t="str">
        <x:v>API-01</x:v>
      </x:c>
      <x:c r="B13" s="12" t="str">
        <x:v>Health</x:v>
      </x:c>
      <x:c r="C13" s="12" t="str">
        <x:v>GET /api/health</x:v>
      </x:c>
      <x:c r="D13" s="12" t="str">
        <x:v>200 {ok:true,database:'sqlite'}</x:v>
      </x:c>
      <x:c r="E13" s="12" t="str">
        <x:v>curl /api/health</x:v>
      </x:c>
    </x:row>
    <x:row r="14">
      <x:c r="A14" s="12" t="str">
        <x:v>API-02</x:v>
      </x:c>
      <x:c r="B14" s="12" t="str">
        <x:v>Auth</x:v>
      </x:c>
      <x:c r="C14" s="12" t="str">
        <x:v>Protected API without token</x:v>
      </x:c>
      <x:c r="D14" s="12" t="str">
        <x:v>401</x:v>
      </x:c>
      <x:c r="E14" s="12" t="str">
        <x:v>curl protected endpoint without Authorization</x:v>
      </x:c>
    </x:row>
    <x:row r="15">
      <x:c r="A15" s="12" t="str">
        <x:v>API-03</x:v>
      </x:c>
      <x:c r="B15" s="12" t="str">
        <x:v>RBAC</x:v>
      </x:c>
      <x:c r="C15" s="12" t="str">
        <x:v>User calls admin endpoint</x:v>
      </x:c>
      <x:c r="D15" s="12" t="str">
        <x:v>403</x:v>
      </x:c>
      <x:c r="E15" s="12" t="str">
        <x:v>Use User bearer token</x:v>
      </x:c>
    </x:row>
    <x:row r="16">
      <x:c r="A16" s="12" t="str">
        <x:v>API-04</x:v>
      </x:c>
      <x:c r="B16" s="12" t="str">
        <x:v>Public Site</x:v>
      </x:c>
      <x:c r="C16" s="12" t="str">
        <x:v>GET /api/public/sites/:slug</x:v>
      </x:c>
      <x:c r="D16" s="12" t="str">
        <x:v>Only Published site returned</x:v>
      </x:c>
      <x:c r="E16" s="12" t="str">
        <x:v>Try Draft vs Published slug</x:v>
      </x:c>
    </x:row>
    <x:row r="17">
      <x:c r="A17" s="12" t="str">
        <x:v>API-05</x:v>
      </x:c>
      <x:c r="B17" s="12" t="str">
        <x:v>Upload</x:v>
      </x:c>
      <x:c r="C17" s="12" t="str">
        <x:v>Oversize file</x:v>
      </x:c>
      <x:c r="D17" s="12" t="str">
        <x:v>Rejected by multer limit</x:v>
      </x:c>
      <x:c r="E17" s="12" t="str">
        <x:v>POST &gt;25MB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4" hidden="0" customWidth="1"/>
    <x:col min="5" max="5" width="40" hidden="0" customWidth="1"/>
  </x:cols>
  <x:sheetData>
    <x:row r="1" ht="28" customHeight="1">
      <x:c r="A1" s="3" t="str">
        <x:v>Browser / Device</x:v>
      </x:c>
      <x:c r="B1" s="3" t="str">
        <x:v>Viewport</x:v>
      </x:c>
      <x:c r="C1" s="3" t="str">
        <x:v>Priority</x:v>
      </x:c>
      <x:c r="D1" s="3" t="str">
        <x:v>Status</x:v>
      </x:c>
      <x:c r="E1" s="3" t="str">
        <x:v>Notes</x:v>
      </x:c>
    </x:row>
    <x:row r="2">
      <x:c r="A2" t="str">
        <x:v>Chrome Desktop</x:v>
      </x:c>
      <x:c r="B2" t="str">
        <x:v>1440x900</x:v>
      </x:c>
      <x:c r="C2" t="str">
        <x:v>P0</x:v>
      </x:c>
      <x:c r="D2" t="str">
        <x:v>Not Run</x:v>
      </x:c>
      <x:c r="E2" t="str">
        <x:v>Primary development browser</x:v>
      </x:c>
    </x:row>
    <x:row r="3">
      <x:c r="A3" t="str">
        <x:v>Chrome Desktop</x:v>
      </x:c>
      <x:c r="B3" t="str">
        <x:v>1920x1080</x:v>
      </x:c>
      <x:c r="C3" t="str">
        <x:v>P0</x:v>
      </x:c>
      <x:c r="D3" t="str">
        <x:v>Not Run</x:v>
      </x:c>
      <x:c r="E3" t="str">
        <x:v>Large desktop</x:v>
      </x:c>
    </x:row>
    <x:row r="4">
      <x:c r="A4" t="str">
        <x:v>Edge Desktop</x:v>
      </x:c>
      <x:c r="B4" t="str">
        <x:v>1440x900</x:v>
      </x:c>
      <x:c r="C4" t="str">
        <x:v>P0</x:v>
      </x:c>
      <x:c r="D4" t="str">
        <x:v>Not Run</x:v>
      </x:c>
      <x:c r="E4" t="str">
        <x:v>Windows enterprise coverage</x:v>
      </x:c>
    </x:row>
    <x:row r="5">
      <x:c r="A5" t="str">
        <x:v>Firefox Desktop</x:v>
      </x:c>
      <x:c r="B5" t="str">
        <x:v>1440x900</x:v>
      </x:c>
      <x:c r="C5" t="str">
        <x:v>P1</x:v>
      </x:c>
      <x:c r="D5" t="str">
        <x:v>Not Run</x:v>
      </x:c>
      <x:c r="E5" t="str">
        <x:v>Cross-browser</x:v>
      </x:c>
    </x:row>
    <x:row r="6">
      <x:c r="A6" t="str">
        <x:v>Safari macOS</x:v>
      </x:c>
      <x:c r="B6" t="str">
        <x:v>1440x900</x:v>
      </x:c>
      <x:c r="C6" t="str">
        <x:v>P1</x:v>
      </x:c>
      <x:c r="D6" t="str">
        <x:v>Not Run</x:v>
      </x:c>
      <x:c r="E6" t="str">
        <x:v>WebKit coverage</x:v>
      </x:c>
    </x:row>
    <x:row r="7">
      <x:c r="A7" t="str">
        <x:v>Chrome Android</x:v>
      </x:c>
      <x:c r="B7" t="str">
        <x:v>390x844</x:v>
      </x:c>
      <x:c r="C7" t="str">
        <x:v>P0</x:v>
      </x:c>
      <x:c r="D7" t="str">
        <x:v>Not Run</x:v>
      </x:c>
      <x:c r="E7" t="str">
        <x:v>Primary mobile</x:v>
      </x:c>
    </x:row>
    <x:row r="8">
      <x:c r="A8" t="str">
        <x:v>Safari iPhone</x:v>
      </x:c>
      <x:c r="B8" t="str">
        <x:v>390x844</x:v>
      </x:c>
      <x:c r="C8" t="str">
        <x:v>P0</x:v>
      </x:c>
      <x:c r="D8" t="str">
        <x:v>Not Run</x:v>
      </x:c>
      <x:c r="E8" t="str">
        <x:v>Primary iOS</x:v>
      </x:c>
    </x:row>
    <x:row r="9">
      <x:c r="A9" t="str">
        <x:v>iPhone Small</x:v>
      </x:c>
      <x:c r="B9" t="str">
        <x:v>375x667</x:v>
      </x:c>
      <x:c r="C9" t="str">
        <x:v>P1</x:v>
      </x:c>
      <x:c r="D9" t="str">
        <x:v>Not Run</x:v>
      </x:c>
      <x:c r="E9" t="str">
        <x:v>Small screen</x:v>
      </x:c>
    </x:row>
    <x:row r="10">
      <x:c r="A10" t="str">
        <x:v>Tablet Portrait</x:v>
      </x:c>
      <x:c r="B10" t="str">
        <x:v>768x1024</x:v>
      </x:c>
      <x:c r="C10" t="str">
        <x:v>P1</x:v>
      </x:c>
      <x:c r="D10" t="str">
        <x:v>Not Run</x:v>
      </x:c>
      <x:c r="E10" t="str">
        <x:v>Tablet</x:v>
      </x:c>
    </x:row>
    <x:row r="11">
      <x:c r="A11" t="str">
        <x:v>Tablet Landscape</x:v>
      </x:c>
      <x:c r="B11" t="str">
        <x:v>1024x768</x:v>
      </x:c>
      <x:c r="C11" t="str">
        <x:v>P1</x:v>
      </x:c>
      <x:c r="D11" t="str">
        <x:v>Not Run</x:v>
      </x:c>
      <x:c r="E11" t="str">
        <x:v>Tablet landscape</x:v>
      </x:c>
    </x:row>
  </x:sheetData>
  <x:dataValidations count="1">
    <x:dataValidation type="list" sqref="D2:D11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42" hidden="0" customWidth="1"/>
    <x:col min="11" max="11" width="32" hidden="0" customWidth="1"/>
    <x:col min="12" max="12" width="32" hidden="0" customWidth="1"/>
    <x:col min="13" max="13" width="24" hidden="0" customWidth="1"/>
    <x:col min="14" max="14" width="28" hidden="0" customWidth="1"/>
    <x:col min="15" max="15" width="16" hidden="0" customWidth="1"/>
    <x:col min="16" max="16" width="15" hidden="0" customWidth="1"/>
    <x:col min="17" max="17" width="15" hidden="0" customWidth="1"/>
    <x:col min="18" max="18" width="28" hidden="0" customWidth="1"/>
  </x:cols>
  <x:sheetData>
    <x:row r="1" ht="28" customHeight="1">
      <x:c r="A1" s="6" t="str">
        <x:v>Defect ID</x:v>
      </x:c>
      <x:c r="B1" s="6" t="str">
        <x:v>Title</x:v>
      </x:c>
      <x:c r="C1" s="6" t="str">
        <x:v>Module</x:v>
      </x:c>
      <x:c r="D1" s="6" t="str">
        <x:v>Severity</x:v>
      </x:c>
      <x:c r="E1" s="6" t="str">
        <x:v>Priority</x:v>
      </x:c>
      <x:c r="F1" s="6" t="str">
        <x:v>Found In Build</x:v>
      </x:c>
      <x:c r="G1" s="6" t="str">
        <x:v>Owner</x:v>
      </x:c>
      <x:c r="H1" s="6" t="str">
        <x:v>Status</x:v>
      </x:c>
      <x:c r="I1" s="6" t="str">
        <x:v>Related TC</x:v>
      </x:c>
      <x:c r="J1" s="6" t="str">
        <x:v>Steps to Reproduce</x:v>
      </x:c>
      <x:c r="K1" s="6" t="str">
        <x:v>Expected</x:v>
      </x:c>
      <x:c r="L1" s="6" t="str">
        <x:v>Actual</x:v>
      </x:c>
      <x:c r="M1" s="6" t="str">
        <x:v>Evidence</x:v>
      </x:c>
      <x:c r="N1" s="6" t="str">
        <x:v>Root Cause</x:v>
      </x:c>
      <x:c r="O1" s="6" t="str">
        <x:v>Fix Build</x:v>
      </x:c>
      <x:c r="P1" s="6" t="str">
        <x:v>Retest Result</x:v>
      </x:c>
      <x:c r="Q1" s="6" t="str">
        <x:v>Closed Date</x:v>
      </x:c>
      <x:c r="R1" s="6" t="str">
        <x:v>Notes</x:v>
      </x:c>
    </x:row>
    <x:row r="2">
      <x:c r="A2" s="12" t="str">
        <x:v>BUG-001</x:v>
      </x:c>
      <x:c r="B2" s="12" t="str">
        <x:v>Editor/Admin could save selected client Canvas to operator site</x:v>
      </x:c>
      <x:c r="C2" s="12" t="str">
        <x:v>Client Assignment</x:v>
      </x:c>
      <x:c r="D2" s="12" t="str">
        <x:v>Critical</x:v>
      </x:c>
      <x:c r="E2" s="12" t="str">
        <x:v>Critical</x:v>
      </x:c>
      <x:c r="F2" s="12" t="str">
        <x:v>v0.11</x:v>
      </x:c>
      <x:c r="G2" s="12" t="str">
        <x:v>Engineering</x:v>
      </x:c>
      <x:c r="H2" s="12" t="str">
        <x:v>Closed</x:v>
      </x:c>
      <x:c r="I2" s="12" t="str">
        <x:v>Role/User workflow</x:v>
      </x:c>
      <x:c r="J2" s="12" t="str">
        <x:v>Select a User as Editor &gt; edit &gt; save</x:v>
      </x:c>
      <x:c r="K2" s="12" t="str">
        <x:v>Selected User site is updated</x:v>
      </x:c>
      <x:c r="L2" s="12" t="str">
        <x:v>Operator/current account site path was used</x:v>
      </x:c>
      <x:c r="M2" s="12" t="str">
        <x:v>VALIDATION_REPORT_v0.12.md</x:v>
      </x:c>
      <x:c r="N2" s="12" t="str">
        <x:v>No assignment/site-owner aware API</x:v>
      </x:c>
      <x:c r="O2" s="12" t="str">
        <x:v>v0.12</x:v>
      </x:c>
      <x:c r="P2" s="12" t="str">
        <x:v>Pass</x:v>
      </x:c>
      <x:c r="Q2" s="12" t="str">
        <x:v>2026-08-12</x:v>
      </x:c>
      <x:c r="R2" s="12" t="str">
        <x:v>Added site_assignments + scoped client site GET/PUT</x:v>
      </x:c>
    </x:row>
    <x:row r="3">
      <x:c r="A3" s="12" t="str">
        <x:v>BUG-002</x:v>
      </x:c>
      <x:c r="B3" s="12" t="str">
        <x:v>No backend model for User ↔ Editor assignment</x:v>
      </x:c>
      <x:c r="C3" s="12" t="str">
        <x:v>RBAC</x:v>
      </x:c>
      <x:c r="D3" s="12" t="str">
        <x:v>Major</x:v>
      </x:c>
      <x:c r="E3" s="12" t="str">
        <x:v>High</x:v>
      </x:c>
      <x:c r="F3" s="12" t="str">
        <x:v>v0.11</x:v>
      </x:c>
      <x:c r="G3" s="12" t="str">
        <x:v>Engineering</x:v>
      </x:c>
      <x:c r="H3" s="12" t="str">
        <x:v>Closed</x:v>
      </x:c>
      <x:c r="I3" s="12" t="str">
        <x:v>User Assignment</x:v>
      </x:c>
      <x:c r="J3" s="12" t="str">
        <x:v>Assign User to Editor</x:v>
      </x:c>
      <x:c r="K3" s="12" t="str">
        <x:v>Assignment persists and gates client site access</x:v>
      </x:c>
      <x:c r="L3" s="12" t="str">
        <x:v>UI state did not represent persistent assignment</x:v>
      </x:c>
      <x:c r="M3" s="12" t="str">
        <x:v>VALIDATION_REPORT_v0.12.md</x:v>
      </x:c>
      <x:c r="N3" s="12" t="str">
        <x:v>Missing relational model</x:v>
      </x:c>
      <x:c r="O3" s="12" t="str">
        <x:v>v0.12</x:v>
      </x:c>
      <x:c r="P3" s="12" t="str">
        <x:v>Pass</x:v>
      </x:c>
      <x:c r="Q3" s="12" t="str">
        <x:v>2026-08-12</x:v>
      </x:c>
      <x:c r="R3" s="12" t="str">
        <x:v>Added site_assignments and /api/clients assignment flow</x:v>
      </x:c>
    </x:row>
    <x:row r="4">
      <x:c r="A4" s="12" t="str">
        <x:v>BUG-003</x:v>
      </x:c>
      <x:c r="B4" s="12" t="str">
        <x:v>Tasks endpoint missing explicit tasks.view middleware</x:v>
      </x:c>
      <x:c r="C4" s="12" t="str">
        <x:v>Tasks</x:v>
      </x:c>
      <x:c r="D4" s="12" t="str">
        <x:v>Critical</x:v>
      </x:c>
      <x:c r="E4" s="12" t="str">
        <x:v>Critical</x:v>
      </x:c>
      <x:c r="F4" s="12" t="str">
        <x:v>v0.11</x:v>
      </x:c>
      <x:c r="G4" s="12" t="str">
        <x:v>Engineering</x:v>
      </x:c>
      <x:c r="H4" s="12" t="str">
        <x:v>Closed</x:v>
      </x:c>
      <x:c r="I4" s="12" t="str">
        <x:v>TC-145</x:v>
      </x:c>
      <x:c r="J4" s="12" t="str">
        <x:v>Call /api/tasks as role without tasks.view</x:v>
      </x:c>
      <x:c r="K4" s="12" t="str">
        <x:v>403 Permission denied</x:v>
      </x:c>
      <x:c r="L4" s="12" t="str">
        <x:v>Authenticated role could reach route filtering logic</x:v>
      </x:c>
      <x:c r="M4" s="12" t="str">
        <x:v>qa-static.mjs</x:v>
      </x:c>
      <x:c r="N4" s="12" t="str">
        <x:v>Missing middleware</x:v>
      </x:c>
      <x:c r="O4" s="12" t="str">
        <x:v>v0.12</x:v>
      </x:c>
      <x:c r="P4" s="12" t="str">
        <x:v>Pass</x:v>
      </x:c>
      <x:c r="Q4" s="12" t="str">
        <x:v>2026-08-12</x:v>
      </x:c>
      <x:c r="R4" s="12" t="str">
        <x:v>Added permit('tasks.view')</x:v>
      </x:c>
    </x:row>
    <x:row r="5">
      <x:c r="A5" s="12" t="str">
        <x:v>BUG-004</x:v>
      </x:c>
      <x:c r="B5" s="12" t="str">
        <x:v>Order detail endpoint exposed arbitrary authenticated order IDs</x:v>
      </x:c>
      <x:c r="C5" s="12" t="str">
        <x:v>Orders / Security</x:v>
      </x:c>
      <x:c r="D5" s="12" t="str">
        <x:v>Critical</x:v>
      </x:c>
      <x:c r="E5" s="12" t="str">
        <x:v>Critical</x:v>
      </x:c>
      <x:c r="F5" s="12" t="str">
        <x:v>v0.11</x:v>
      </x:c>
      <x:c r="G5" s="12" t="str">
        <x:v>Engineering</x:v>
      </x:c>
      <x:c r="H5" s="12" t="str">
        <x:v>Closed</x:v>
      </x:c>
      <x:c r="I5" s="12" t="str">
        <x:v>TC-163</x:v>
      </x:c>
      <x:c r="J5" s="12" t="str">
        <x:v>GET another customer's /api/orders/:id</x:v>
      </x:c>
      <x:c r="K5" s="12" t="str">
        <x:v>403 unless orders.view or owner email</x:v>
      </x:c>
      <x:c r="L5" s="12" t="str">
        <x:v>Any authenticated user could read order detail by ID</x:v>
      </x:c>
      <x:c r="M5" s="12" t="str">
        <x:v>qa-static.mjs</x:v>
      </x:c>
      <x:c r="N5" s="12" t="str">
        <x:v>Missing object-level authorization</x:v>
      </x:c>
      <x:c r="O5" s="12" t="str">
        <x:v>v0.12</x:v>
      </x:c>
      <x:c r="P5" s="12" t="str">
        <x:v>Pass</x:v>
      </x:c>
      <x:c r="Q5" s="12" t="str">
        <x:v>2026-08-12</x:v>
      </x:c>
      <x:c r="R5" s="12" t="str">
        <x:v>Added permission/owner guard</x:v>
      </x:c>
    </x:row>
    <x:row r="6">
      <x:c r="A6" s="12" t="str">
        <x:v>BUG-005</x:v>
      </x:c>
      <x:c r="B6" s="12" t="str">
        <x:v>Template Preview action executed Use Template</x:v>
      </x:c>
      <x:c r="C6" s="12" t="str">
        <x:v>Templates</x:v>
      </x:c>
      <x:c r="D6" s="12" t="str">
        <x:v>Major</x:v>
      </x:c>
      <x:c r="E6" s="12" t="str">
        <x:v>High</x:v>
      </x:c>
      <x:c r="F6" s="12" t="str">
        <x:v>v0.11</x:v>
      </x:c>
      <x:c r="G6" s="12" t="str">
        <x:v>Engineering</x:v>
      </x:c>
      <x:c r="H6" s="12" t="str">
        <x:v>Closed</x:v>
      </x:c>
      <x:c r="I6" s="12" t="str">
        <x:v>TC-043</x:v>
      </x:c>
      <x:c r="J6" s="12" t="str">
        <x:v>Click eye icon on Template card</x:v>
      </x:c>
      <x:c r="K6" s="12" t="str">
        <x:v>Preview only; no Canvas mutation</x:v>
      </x:c>
      <x:c r="L6" s="12" t="str">
        <x:v>Eye button called applyTemplate</x:v>
      </x:c>
      <x:c r="M6" s="12" t="str">
        <x:v>QA source inspection</x:v>
      </x:c>
      <x:c r="N6" s="12" t="str">
        <x:v>Wrong click handler</x:v>
      </x:c>
      <x:c r="O6" s="12" t="str">
        <x:v>v0.12</x:v>
      </x:c>
      <x:c r="P6" s="12" t="str">
        <x:v>Pass</x:v>
      </x:c>
      <x:c r="Q6" s="12" t="str">
        <x:v>2026-08-12</x:v>
      </x:c>
      <x:c r="R6" s="12" t="str">
        <x:v>Added safe preview modal</x:v>
      </x:c>
    </x:row>
    <x:row r="7">
      <x:c r="A7" s="12" t="str">
        <x:v>BUG-006</x:v>
      </x:c>
      <x:c r="B7" s="12" t="str">
        <x:v>RSVP activity chart was synthetic rather than real data</x:v>
      </x:c>
      <x:c r="C7" s="12" t="str">
        <x:v>Dashboard</x:v>
      </x:c>
      <x:c r="D7" s="12" t="str">
        <x:v>Major</x:v>
      </x:c>
      <x:c r="E7" s="12" t="str">
        <x:v>High</x:v>
      </x:c>
      <x:c r="F7" s="12" t="str">
        <x:v>v0.11</x:v>
      </x:c>
      <x:c r="G7" s="12" t="str">
        <x:v>Engineering</x:v>
      </x:c>
      <x:c r="H7" s="12" t="str">
        <x:v>Closed</x:v>
      </x:c>
      <x:c r="I7" s="12" t="str">
        <x:v>TC-102</x:v>
      </x:c>
      <x:c r="J7" s="12" t="str">
        <x:v>Compare chart with RSVP timestamps</x:v>
      </x:c>
      <x:c r="K7" s="12" t="str">
        <x:v>Chart groups actual responses by day</x:v>
      </x:c>
      <x:c r="L7" s="12" t="str">
        <x:v>Linear generated values based on count</x:v>
      </x:c>
      <x:c r="M7" s="12" t="str">
        <x:v>QA source inspection</x:v>
      </x:c>
      <x:c r="N7" s="12" t="str">
        <x:v>Placeholder analytics logic</x:v>
      </x:c>
      <x:c r="O7" s="12" t="str">
        <x:v>v0.12</x:v>
      </x:c>
      <x:c r="P7" s="12" t="str">
        <x:v>Pass</x:v>
      </x:c>
      <x:c r="Q7" s="12" t="str">
        <x:v>2026-08-12</x:v>
      </x:c>
      <x:c r="R7" s="12" t="str">
        <x:v>Chart now derives from Guest timestamps</x:v>
      </x:c>
    </x:row>
    <x:row r="8">
      <x:c r="A8" s="12" t="str">
        <x:v>BUG-007</x:v>
      </x:c>
      <x:c r="B8" s="12" t="str">
        <x:v>Public chat trusted raw conversation ID</x:v>
      </x:c>
      <x:c r="C8" s="12" t="str">
        <x:v>Live Chat / Security</x:v>
      </x:c>
      <x:c r="D8" s="12" t="str">
        <x:v>Critical</x:v>
      </x:c>
      <x:c r="E8" s="12" t="str">
        <x:v>High</x:v>
      </x:c>
      <x:c r="F8" s="12" t="str">
        <x:v>v0.11</x:v>
      </x:c>
      <x:c r="G8" s="12" t="str">
        <x:v>Engineering</x:v>
      </x:c>
      <x:c r="H8" s="12" t="str">
        <x:v>Closed</x:v>
      </x:c>
      <x:c r="I8" s="12" t="str">
        <x:v>TC-103</x:v>
      </x:c>
      <x:c r="J8" s="12" t="str">
        <x:v>Reuse another conversation ID in public chat</x:v>
      </x:c>
      <x:c r="K8" s="12" t="str">
        <x:v>Client cannot append without opaque token</x:v>
      </x:c>
      <x:c r="L8" s="12" t="str">
        <x:v>Raw conversationId accepted</x:v>
      </x:c>
      <x:c r="M8" s="12" t="str">
        <x:v>qa-static.mjs</x:v>
      </x:c>
      <x:c r="N8" s="12" t="str">
        <x:v>Insufficient public conversation proof</x:v>
      </x:c>
      <x:c r="O8" s="12" t="str">
        <x:v>v0.12</x:v>
      </x:c>
      <x:c r="P8" s="12" t="str">
        <x:v>Pass</x:v>
      </x:c>
      <x:c r="Q8" s="12" t="str">
        <x:v>2026-08-12</x:v>
      </x:c>
      <x:c r="R8" s="12" t="str">
        <x:v>Added random public_token and token-based continuation</x:v>
      </x:c>
    </x:row>
    <x:row r="9">
      <x:c r="A9" s="12" t="str">
        <x:v>BUG-008</x:v>
      </x:c>
      <x:c r="B9" s="12" t="str">
        <x:v>Media/Sound upload lacked sufficient server-side MIME checks</x:v>
      </x:c>
      <x:c r="C9" s="12" t="str">
        <x:v>Media / Security</x:v>
      </x:c>
      <x:c r="D9" s="12" t="str">
        <x:v>Critical</x:v>
      </x:c>
      <x:c r="E9" s="12" t="str">
        <x:v>High</x:v>
      </x:c>
      <x:c r="F9" s="12" t="str">
        <x:v>v0.11</x:v>
      </x:c>
      <x:c r="G9" s="12" t="str">
        <x:v>Engineering</x:v>
      </x:c>
      <x:c r="H9" s="12" t="str">
        <x:v>Closed</x:v>
      </x:c>
      <x:c r="I9" s="12" t="str">
        <x:v>TC-164</x:v>
      </x:c>
      <x:c r="J9" s="12" t="str">
        <x:v>Upload unsupported executable renamed as media</x:v>
      </x:c>
      <x:c r="K9" s="12" t="str">
        <x:v>415 rejected</x:v>
      </x:c>
      <x:c r="L9" s="12" t="str">
        <x:v>Multer accepted arbitrary MIME</x:v>
      </x:c>
      <x:c r="M9" s="12" t="str">
        <x:v>qa-static.mjs</x:v>
      </x:c>
      <x:c r="N9" s="12" t="str">
        <x:v>Validation only in client UI</x:v>
      </x:c>
      <x:c r="O9" s="12" t="str">
        <x:v>v0.12</x:v>
      </x:c>
      <x:c r="P9" s="12" t="str">
        <x:v>Pass</x:v>
      </x:c>
      <x:c r="Q9" s="12" t="str">
        <x:v>2026-08-12</x:v>
      </x:c>
      <x:c r="R9" s="12" t="str">
        <x:v>Added backend MIME + Sound size validation</x:v>
      </x:c>
    </x:row>
    <x:row r="10">
      <x:c r="A10" s="12" t="str">
        <x:v>BUG-009</x:v>
      </x:c>
      <x:c r="B10" s="12" t="str">
        <x:v>Payment simulation could be submitted more than once</x:v>
      </x:c>
      <x:c r="C10" s="12" t="str">
        <x:v>Orders</x:v>
      </x:c>
      <x:c r="D10" s="12" t="str">
        <x:v>Critical</x:v>
      </x:c>
      <x:c r="E10" s="12" t="str">
        <x:v>Critical</x:v>
      </x:c>
      <x:c r="F10" s="12" t="str">
        <x:v>v0.11</x:v>
      </x:c>
      <x:c r="G10" s="12" t="str">
        <x:v>Engineering</x:v>
      </x:c>
      <x:c r="H10" s="12" t="str">
        <x:v>Closed</x:v>
      </x:c>
      <x:c r="I10" s="12" t="str">
        <x:v>TC-132</x:v>
      </x:c>
      <x:c r="J10" s="12" t="str">
        <x:v>POST pay twice for same order</x:v>
      </x:c>
      <x:c r="K10" s="12" t="str">
        <x:v>Second payment rejected</x:v>
      </x:c>
      <x:c r="L10" s="12" t="str">
        <x:v>Duplicate task/conversation/receipt possible</x:v>
      </x:c>
      <x:c r="M10" s="12" t="str">
        <x:v>qa-static.mjs</x:v>
      </x:c>
      <x:c r="N10" s="12" t="str">
        <x:v>Missing idempotency check</x:v>
      </x:c>
      <x:c r="O10" s="12" t="str">
        <x:v>v0.12</x:v>
      </x:c>
      <x:c r="P10" s="12" t="str">
        <x:v>Pass</x:v>
      </x:c>
      <x:c r="Q10" s="12" t="str">
        <x:v>2026-08-12</x:v>
      </x:c>
      <x:c r="R10" s="12" t="str">
        <x:v>Paid order now returns 409</x:v>
      </x:c>
    </x:row>
    <x:row r="11">
      <x:c r="A11" s="12" t="str">
        <x:v>BUG-010</x:v>
      </x:c>
      <x:c r="B11" s="12" t="str">
        <x:v>Production could use simulation pay route without hard safety gate</x:v>
      </x:c>
      <x:c r="C11" s="12" t="str">
        <x:v>Payment / Security</x:v>
      </x:c>
      <x:c r="D11" s="12" t="str">
        <x:v>Critical</x:v>
      </x:c>
      <x:c r="E11" s="12" t="str">
        <x:v>Critical</x:v>
      </x:c>
      <x:c r="F11" s="12" t="str">
        <x:v>v0.11</x:v>
      </x:c>
      <x:c r="G11" s="12" t="str">
        <x:v>Engineering</x:v>
      </x:c>
      <x:c r="H11" s="12" t="str">
        <x:v>Closed</x:v>
      </x:c>
      <x:c r="I11" s="12" t="str">
        <x:v>TC-169</x:v>
      </x:c>
      <x:c r="J11" s="12" t="str">
        <x:v>Run production without gateway integration</x:v>
      </x:c>
      <x:c r="K11" s="12" t="str">
        <x:v>Server refuses unsafe direct payment path</x:v>
      </x:c>
      <x:c r="L11" s="12" t="str">
        <x:v>Simulation endpoint was callable</x:v>
      </x:c>
      <x:c r="M11" s="12" t="str">
        <x:v>qa-static.mjs</x:v>
      </x:c>
      <x:c r="N11" s="12" t="str">
        <x:v>Environment guard absent</x:v>
      </x:c>
      <x:c r="O11" s="12" t="str">
        <x:v>v0.12</x:v>
      </x:c>
      <x:c r="P11" s="12" t="str">
        <x:v>Pass</x:v>
      </x:c>
      <x:c r="Q11" s="12" t="str">
        <x:v>2026-08-12</x:v>
      </x:c>
      <x:c r="R11" s="12" t="str">
        <x:v>Production requires explicit PAYMENT_MODE policy</x:v>
      </x:c>
    </x:row>
    <x:row r="12">
      <x:c r="A12" s="12" t="str">
        <x:v>BUG-011</x:v>
      </x:c>
      <x:c r="B12" s="12" t="str">
        <x:v>Deleting assigned custom role could surface DB error</x:v>
      </x:c>
      <x:c r="C12" s="12" t="str">
        <x:v>RBAC</x:v>
      </x:c>
      <x:c r="D12" s="12" t="str">
        <x:v>Major</x:v>
      </x:c>
      <x:c r="E12" s="12" t="str">
        <x:v>High</x:v>
      </x:c>
      <x:c r="F12" s="12" t="str">
        <x:v>v0.11</x:v>
      </x:c>
      <x:c r="G12" s="12" t="str">
        <x:v>Engineering</x:v>
      </x:c>
      <x:c r="H12" s="12" t="str">
        <x:v>Closed</x:v>
      </x:c>
      <x:c r="I12" s="12" t="str">
        <x:v>TC-020</x:v>
      </x:c>
      <x:c r="J12" s="12" t="str">
        <x:v>Delete custom role still used by users</x:v>
      </x:c>
      <x:c r="K12" s="12" t="str">
        <x:v>409 with actionable message</x:v>
      </x:c>
      <x:c r="L12" s="12" t="str">
        <x:v>FK failure could propagate as 500</x:v>
      </x:c>
      <x:c r="M12" s="12" t="str">
        <x:v>qa-static.mjs</x:v>
      </x:c>
      <x:c r="N12" s="12" t="str">
        <x:v>No dependency pre-check</x:v>
      </x:c>
      <x:c r="O12" s="12" t="str">
        <x:v>v0.12</x:v>
      </x:c>
      <x:c r="P12" s="12" t="str">
        <x:v>Pass</x:v>
      </x:c>
      <x:c r="Q12" s="12" t="str">
        <x:v>2026-08-12</x:v>
      </x:c>
      <x:c r="R12" s="12" t="str">
        <x:v>Added role usage guard</x:v>
      </x:c>
    </x:row>
    <x:row r="13">
      <x:c r="A13" s="12" t="str">
        <x:v>BUG-012</x:v>
      </x:c>
      <x:c r="B13" s="12" t="str">
        <x:v>CS Incoming Chat metric counted system order events</x:v>
      </x:c>
      <x:c r="C13" s="12" t="str">
        <x:v>Customer Service</x:v>
      </x:c>
      <x:c r="D13" s="12" t="str">
        <x:v>Major</x:v>
      </x:c>
      <x:c r="E13" s="12" t="str">
        <x:v>High</x:v>
      </x:c>
      <x:c r="F13" s="12" t="str">
        <x:v>v0.11</x:v>
      </x:c>
      <x:c r="G13" s="12" t="str">
        <x:v>Engineering</x:v>
      </x:c>
      <x:c r="H13" s="12" t="str">
        <x:v>Closed</x:v>
      </x:c>
      <x:c r="I13" s="12" t="str">
        <x:v>TC-106</x:v>
      </x:c>
      <x:c r="J13" s="12" t="str">
        <x:v>Compare customer messages vs metric</x:v>
      </x:c>
      <x:c r="K13" s="12" t="str">
        <x:v>Incoming equals customer messages</x:v>
      </x:c>
      <x:c r="L13" s="12" t="str">
        <x:v>sender_type system included</x:v>
      </x:c>
      <x:c r="M13" s="12" t="str">
        <x:v>QA source inspection</x:v>
      </x:c>
      <x:c r="N13" s="12" t="str">
        <x:v>Metric query included system</x:v>
      </x:c>
      <x:c r="O13" s="12" t="str">
        <x:v>v0.12</x:v>
      </x:c>
      <x:c r="P13" s="12" t="str">
        <x:v>Pass</x:v>
      </x:c>
      <x:c r="Q13" s="12" t="str">
        <x:v>2026-08-12</x:v>
      </x:c>
      <x:c r="R13" s="12" t="str">
        <x:v>Metric now sender_type=customer</x:v>
      </x:c>
    </x:row>
    <x:row r="14">
      <x:c r="A14" s="12" t="str">
        <x:v>BUG-013</x:v>
      </x:c>
      <x:c r="B14" s="12" t="str">
        <x:v>Checkout backend accepted malformed email/short phone</x:v>
      </x:c>
      <x:c r="C14" s="12" t="str">
        <x:v>Checkout</x:v>
      </x:c>
      <x:c r="D14" s="12" t="str">
        <x:v>Major</x:v>
      </x:c>
      <x:c r="E14" s="12" t="str">
        <x:v>High</x:v>
      </x:c>
      <x:c r="F14" s="12" t="str">
        <x:v>v0.11</x:v>
      </x:c>
      <x:c r="G14" s="12" t="str">
        <x:v>Engineering</x:v>
      </x:c>
      <x:c r="H14" s="12" t="str">
        <x:v>Closed</x:v>
      </x:c>
      <x:c r="I14" s="12" t="str">
        <x:v>TC-124, TC-125</x:v>
      </x:c>
      <x:c r="J14" s="12" t="str">
        <x:v>Bypass frontend validation and POST invalid fields</x:v>
      </x:c>
      <x:c r="K14" s="12" t="str">
        <x:v>400 validation error</x:v>
      </x:c>
      <x:c r="L14" s="12" t="str">
        <x:v>Validation relied on UI</x:v>
      </x:c>
      <x:c r="M14" s="12" t="str">
        <x:v>qa-static.mjs</x:v>
      </x:c>
      <x:c r="N14" s="12" t="str">
        <x:v>Missing backend validation</x:v>
      </x:c>
      <x:c r="O14" s="12" t="str">
        <x:v>v0.12</x:v>
      </x:c>
      <x:c r="P14" s="12" t="str">
        <x:v>Pass</x:v>
      </x:c>
      <x:c r="Q14" s="12" t="str">
        <x:v>2026-08-12</x:v>
      </x:c>
      <x:c r="R14" s="12" t="str">
        <x:v>Added server-side email/phone validation</x:v>
      </x:c>
    </x:row>
    <x:row r="15">
      <x:c r="A15" s="12" t="str">
        <x:v>BUG-014</x:v>
      </x:c>
      <x:c r="B15" s="12" t="str">
        <x:v>Auth/chat/order public endpoints lacked throttling</x:v>
      </x:c>
      <x:c r="C15" s="12" t="str">
        <x:v>Security</x:v>
      </x:c>
      <x:c r="D15" s="12" t="str">
        <x:v>Critical</x:v>
      </x:c>
      <x:c r="E15" s="12" t="str">
        <x:v>High</x:v>
      </x:c>
      <x:c r="F15" s="12" t="str">
        <x:v>v0.11</x:v>
      </x:c>
      <x:c r="G15" s="12" t="str">
        <x:v>Engineering</x:v>
      </x:c>
      <x:c r="H15" s="12" t="str">
        <x:v>Closed</x:v>
      </x:c>
      <x:c r="I15" s="12" t="str">
        <x:v>Auth/Chat/Checkout</x:v>
      </x:c>
      <x:c r="J15" s="12" t="str">
        <x:v>Burst requests to public endpoints</x:v>
      </x:c>
      <x:c r="K15" s="12" t="str">
        <x:v>429 after configured threshold</x:v>
      </x:c>
      <x:c r="L15" s="12" t="str">
        <x:v>No rate limiter</x:v>
      </x:c>
      <x:c r="M15" s="12" t="str">
        <x:v>qa-static.mjs</x:v>
      </x:c>
      <x:c r="N15" s="12" t="str">
        <x:v>Missing abuse protection</x:v>
      </x:c>
      <x:c r="O15" s="12" t="str">
        <x:v>v0.12</x:v>
      </x:c>
      <x:c r="P15" s="12" t="str">
        <x:v>Pass</x:v>
      </x:c>
      <x:c r="Q15" s="12" t="str">
        <x:v>2026-08-12</x:v>
      </x:c>
      <x:c r="R15" s="12" t="str">
        <x:v>Added in-memory staging rate limiter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</x:row>
  </x:sheetData>
  <x:conditionalFormatting sqref="H2:H500">
    <x:cfRule type="expression" dxfId="4" priority="1">
      <x:formula>H2="Closed"</x:formula>
    </x:cfRule>
    <x:cfRule type="expression" dxfId="5" priority="2">
      <x:formula>H2="Open"</x:formula>
    </x:cfRule>
  </x:conditionalFormatting>
  <x:dataValidations count="4">
    <x:dataValidation type="list" sqref="D2:D500">
      <x:formula1>"Critical,Major,Minor,Cosmetic"</x:formula1>
    </x:dataValidation>
    <x:dataValidation type="list" sqref="E2:E500">
      <x:formula1>"Critical,High,Medium,Low"</x:formula1>
    </x:dataValidation>
    <x:dataValidation type="list" sqref="H2:H500">
      <x:formula1>"Open,In Progress,Ready to Retest,Closed,Rejected,Deferred"</x:formula1>
    </x:dataValidation>
    <x:dataValidation type="list" sqref="P2:P500">
      <x:formula1>"Not Retested,Pass,Fail,Blocked,N/A"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52" hidden="0" customWidth="1"/>
    <x:col min="4" max="4" width="18" hidden="0" customWidth="1"/>
    <x:col min="5" max="5" width="16" hidden="0" customWidth="1"/>
    <x:col min="6" max="6" width="40" hidden="0" customWidth="1"/>
  </x:cols>
  <x:sheetData>
    <x:row r="1" ht="28" customHeight="1">
      <x:c r="A1" s="6" t="str">
        <x:v>ID</x:v>
      </x:c>
      <x:c r="B1" s="6" t="str">
        <x:v>Area</x:v>
      </x:c>
      <x:c r="C1" s="6" t="str">
        <x:v>Checklist</x:v>
      </x:c>
      <x:c r="D1" s="6" t="str">
        <x:v>Owner</x:v>
      </x:c>
      <x:c r="E1" s="6" t="str">
        <x:v>Status</x:v>
      </x:c>
      <x:c r="F1" s="6" t="str">
        <x:v>Evidence / Notes</x:v>
      </x:c>
    </x:row>
    <x:row r="2">
      <x:c r="A2" s="12" t="str">
        <x:v>STG-01</x:v>
      </x:c>
      <x:c r="B2" s="12" t="str">
        <x:v>Infrastructure</x:v>
      </x:c>
      <x:c r="C2" s="12" t="str">
        <x:v>2 vCPU / 4 GB RAM / 30 GB SSD minimum provisioned</x:v>
      </x:c>
      <x:c r="D2" s="12" t="str">
        <x:v>Infra</x:v>
      </x:c>
      <x:c r="E2" s="12" t="str">
        <x:v>Not Started</x:v>
      </x:c>
      <x:c r="F2" s="12" t="str"/>
    </x:row>
    <x:row r="3">
      <x:c r="A3" s="12" t="str">
        <x:v>STG-02</x:v>
      </x:c>
      <x:c r="B3" s="12" t="str">
        <x:v>OS</x:v>
      </x:c>
      <x:c r="C3" s="12" t="str">
        <x:v>Ubuntu 24.04 LTS / supported Docker host</x:v>
      </x:c>
      <x:c r="D3" s="12" t="str">
        <x:v>Infra</x:v>
      </x:c>
      <x:c r="E3" s="12" t="str">
        <x:v>Not Started</x:v>
      </x:c>
      <x:c r="F3" s="12" t="str"/>
    </x:row>
    <x:row r="4">
      <x:c r="A4" s="12" t="str">
        <x:v>STG-03</x:v>
      </x:c>
      <x:c r="B4" s="12" t="str">
        <x:v>DNS</x:v>
      </x:c>
      <x:c r="C4" s="12" t="str">
        <x:v>staging.ikrarku.id resolves correctly</x:v>
      </x:c>
      <x:c r="D4" s="12" t="str">
        <x:v>Infra</x:v>
      </x:c>
      <x:c r="E4" s="12" t="str">
        <x:v>Not Started</x:v>
      </x:c>
      <x:c r="F4" s="12" t="str"/>
    </x:row>
    <x:row r="5">
      <x:c r="A5" s="12" t="str">
        <x:v>STG-04</x:v>
      </x:c>
      <x:c r="B5" s="12" t="str">
        <x:v>TLS</x:v>
      </x:c>
      <x:c r="C5" s="12" t="str">
        <x:v>HTTPS certificate valid</x:v>
      </x:c>
      <x:c r="D5" s="12" t="str">
        <x:v>Infra</x:v>
      </x:c>
      <x:c r="E5" s="12" t="str">
        <x:v>Not Started</x:v>
      </x:c>
      <x:c r="F5" s="12" t="str"/>
    </x:row>
    <x:row r="6">
      <x:c r="A6" s="12" t="str">
        <x:v>STG-05</x:v>
      </x:c>
      <x:c r="B6" s="12" t="str">
        <x:v>Docker</x:v>
      </x:c>
      <x:c r="C6" s="12" t="str">
        <x:v>docker compose build succeeds</x:v>
      </x:c>
      <x:c r="D6" s="12" t="str">
        <x:v>DevOps</x:v>
      </x:c>
      <x:c r="E6" s="12" t="str">
        <x:v>Not Started</x:v>
      </x:c>
      <x:c r="F6" s="12" t="str"/>
    </x:row>
    <x:row r="7">
      <x:c r="A7" s="12" t="str">
        <x:v>STG-06</x:v>
      </x:c>
      <x:c r="B7" s="12" t="str">
        <x:v>Environment</x:v>
      </x:c>
      <x:c r="C7" s="12" t="str">
        <x:v>CLIENT_ORIGIN matches staging URL</x:v>
      </x:c>
      <x:c r="D7" s="12" t="str">
        <x:v>DevOps</x:v>
      </x:c>
      <x:c r="E7" s="12" t="str">
        <x:v>Not Started</x:v>
      </x:c>
      <x:c r="F7" s="12" t="str"/>
    </x:row>
    <x:row r="8">
      <x:c r="A8" s="12" t="str">
        <x:v>STG-07</x:v>
      </x:c>
      <x:c r="B8" s="12" t="str">
        <x:v>Secrets</x:v>
      </x:c>
      <x:c r="C8" s="12" t="str">
        <x:v>SMTP credentials stored as secret, not Git</x:v>
      </x:c>
      <x:c r="D8" s="12" t="str">
        <x:v>DevOps</x:v>
      </x:c>
      <x:c r="E8" s="12" t="str">
        <x:v>Not Started</x:v>
      </x:c>
      <x:c r="F8" s="12" t="str"/>
    </x:row>
    <x:row r="9">
      <x:c r="A9" s="12" t="str">
        <x:v>STG-08</x:v>
      </x:c>
      <x:c r="B9" s="12" t="str">
        <x:v>Database</x:v>
      </x:c>
      <x:c r="C9" s="12" t="str">
        <x:v>SQLite volume persistent</x:v>
      </x:c>
      <x:c r="D9" s="12" t="str">
        <x:v>DevOps</x:v>
      </x:c>
      <x:c r="E9" s="12" t="str">
        <x:v>Not Started</x:v>
      </x:c>
      <x:c r="F9" s="12" t="str"/>
    </x:row>
    <x:row r="10">
      <x:c r="A10" s="12" t="str">
        <x:v>STG-09</x:v>
      </x:c>
      <x:c r="B10" s="12" t="str">
        <x:v>Uploads</x:v>
      </x:c>
      <x:c r="C10" s="12" t="str">
        <x:v>Upload volume persistent</x:v>
      </x:c>
      <x:c r="D10" s="12" t="str">
        <x:v>DevOps</x:v>
      </x:c>
      <x:c r="E10" s="12" t="str">
        <x:v>Not Started</x:v>
      </x:c>
      <x:c r="F10" s="12" t="str"/>
    </x:row>
    <x:row r="11">
      <x:c r="A11" s="12" t="str">
        <x:v>STG-10</x:v>
      </x:c>
      <x:c r="B11" s="12" t="str">
        <x:v>Receipts</x:v>
      </x:c>
      <x:c r="C11" s="12" t="str">
        <x:v>Receipt volume persistent</x:v>
      </x:c>
      <x:c r="D11" s="12" t="str">
        <x:v>DevOps</x:v>
      </x:c>
      <x:c r="E11" s="12" t="str">
        <x:v>Not Started</x:v>
      </x:c>
      <x:c r="F11" s="12" t="str"/>
    </x:row>
    <x:row r="12">
      <x:c r="A12" s="12" t="str">
        <x:v>STG-11</x:v>
      </x:c>
      <x:c r="B12" s="12" t="str">
        <x:v>Backup</x:v>
      </x:c>
      <x:c r="C12" s="12" t="str">
        <x:v>Backup job/manual procedure tested</x:v>
      </x:c>
      <x:c r="D12" s="12" t="str">
        <x:v>Infra</x:v>
      </x:c>
      <x:c r="E12" s="12" t="str">
        <x:v>Not Started</x:v>
      </x:c>
      <x:c r="F12" s="12" t="str"/>
    </x:row>
    <x:row r="13">
      <x:c r="A13" s="12" t="str">
        <x:v>STG-12</x:v>
      </x:c>
      <x:c r="B13" s="12" t="str">
        <x:v>Restore</x:v>
      </x:c>
      <x:c r="C13" s="12" t="str">
        <x:v>Restore drill successfully completed</x:v>
      </x:c>
      <x:c r="D13" s="12" t="str">
        <x:v>Infra</x:v>
      </x:c>
      <x:c r="E13" s="12" t="str">
        <x:v>Not Started</x:v>
      </x:c>
      <x:c r="F13" s="12" t="str"/>
    </x:row>
    <x:row r="14">
      <x:c r="A14" s="12" t="str">
        <x:v>STG-13</x:v>
      </x:c>
      <x:c r="B14" s="12" t="str">
        <x:v>Email</x:v>
      </x:c>
      <x:c r="C14" s="12" t="str">
        <x:v>Verification email delivered in staging</x:v>
      </x:c>
      <x:c r="D14" s="12" t="str">
        <x:v>QA</x:v>
      </x:c>
      <x:c r="E14" s="12" t="str">
        <x:v>Not Started</x:v>
      </x:c>
      <x:c r="F14" s="12" t="str"/>
    </x:row>
    <x:row r="15">
      <x:c r="A15" s="12" t="str">
        <x:v>STG-14</x:v>
      </x:c>
      <x:c r="B15" s="12" t="str">
        <x:v>Email</x:v>
      </x:c>
      <x:c r="C15" s="12" t="str">
        <x:v>Receipt email + PDF delivered</x:v>
      </x:c>
      <x:c r="D15" s="12" t="str">
        <x:v>QA</x:v>
      </x:c>
      <x:c r="E15" s="12" t="str">
        <x:v>Not Started</x:v>
      </x:c>
      <x:c r="F15" s="12" t="str"/>
    </x:row>
    <x:row r="16">
      <x:c r="A16" s="12" t="str">
        <x:v>STG-15</x:v>
      </x:c>
      <x:c r="B16" s="12" t="str">
        <x:v>Payment</x:v>
      </x:c>
      <x:c r="C16" s="12" t="str">
        <x:v>Simulation clearly marked; live gateway disabled</x:v>
      </x:c>
      <x:c r="D16" s="12" t="str">
        <x:v>Product/QA</x:v>
      </x:c>
      <x:c r="E16" s="12" t="str">
        <x:v>Not Started</x:v>
      </x:c>
      <x:c r="F16" s="12" t="str"/>
    </x:row>
    <x:row r="17">
      <x:c r="A17" s="12" t="str">
        <x:v>STG-16</x:v>
      </x:c>
      <x:c r="B17" s="12" t="str">
        <x:v>Security</x:v>
      </x:c>
      <x:c r="C17" s="12" t="str">
        <x:v>Default admin password changed</x:v>
      </x:c>
      <x:c r="D17" s="12" t="str">
        <x:v>Admin</x:v>
      </x:c>
      <x:c r="E17" s="12" t="str">
        <x:v>Not Started</x:v>
      </x:c>
      <x:c r="F17" s="12" t="str"/>
    </x:row>
    <x:row r="18">
      <x:c r="A18" s="12" t="str">
        <x:v>STG-17</x:v>
      </x:c>
      <x:c r="B18" s="12" t="str">
        <x:v>Security</x:v>
      </x:c>
      <x:c r="C18" s="12" t="str">
        <x:v>Rate limiting plan for login/signup/chat/checkout</x:v>
      </x:c>
      <x:c r="D18" s="12" t="str">
        <x:v>Engineering</x:v>
      </x:c>
      <x:c r="E18" s="12" t="str">
        <x:v>Not Started</x:v>
      </x:c>
      <x:c r="F18" s="12" t="str"/>
    </x:row>
    <x:row r="19">
      <x:c r="A19" s="12" t="str">
        <x:v>STG-18</x:v>
      </x:c>
      <x:c r="B19" s="12" t="str">
        <x:v>Security</x:v>
      </x:c>
      <x:c r="C19" s="12" t="str">
        <x:v>File type validation reviewed</x:v>
      </x:c>
      <x:c r="D19" s="12" t="str">
        <x:v>Engineering</x:v>
      </x:c>
      <x:c r="E19" s="12" t="str">
        <x:v>Not Started</x:v>
      </x:c>
      <x:c r="F19" s="12" t="str"/>
    </x:row>
    <x:row r="20">
      <x:c r="A20" s="12" t="str">
        <x:v>STG-19</x:v>
      </x:c>
      <x:c r="B20" s="12" t="str">
        <x:v>Monitoring</x:v>
      </x:c>
      <x:c r="C20" s="12" t="str">
        <x:v>Health endpoint monitored</x:v>
      </x:c>
      <x:c r="D20" s="12" t="str">
        <x:v>Infra</x:v>
      </x:c>
      <x:c r="E20" s="12" t="str">
        <x:v>Not Started</x:v>
      </x:c>
      <x:c r="F20" s="12" t="str"/>
    </x:row>
    <x:row r="21">
      <x:c r="A21" s="12" t="str">
        <x:v>STG-20</x:v>
      </x:c>
      <x:c r="B21" s="12" t="str">
        <x:v>CI</x:v>
      </x:c>
      <x:c r="C21" s="12" t="str">
        <x:v>lint/build/server syntax/Docker checks pass</x:v>
      </x:c>
      <x:c r="D21" s="12" t="str">
        <x:v>Engineering</x:v>
      </x:c>
      <x:c r="E21" s="12" t="str">
        <x:v>Not Started</x:v>
      </x:c>
      <x:c r="F21" s="12" t="str"/>
    </x:row>
    <x:row r="22">
      <x:c r="A22" s="12" t="str">
        <x:v>STG-21</x:v>
      </x:c>
      <x:c r="B22" s="12" t="str">
        <x:v>UAT</x:v>
      </x:c>
      <x:c r="C22" s="12" t="str">
        <x:v>P0/P1 test cases passed</x:v>
      </x:c>
      <x:c r="D22" s="12" t="str">
        <x:v>QA</x:v>
      </x:c>
      <x:c r="E22" s="12" t="str">
        <x:v>Not Started</x:v>
      </x:c>
      <x:c r="F22" s="12" t="str"/>
    </x:row>
    <x:row r="23">
      <x:c r="A23" s="12" t="str">
        <x:v>STG-22</x:v>
      </x:c>
      <x:c r="B23" s="12" t="str">
        <x:v>Go/No-Go</x:v>
      </x:c>
      <x:c r="C23" s="12" t="str">
        <x:v>Stakeholder sign-off complete</x:v>
      </x:c>
      <x:c r="D23" s="12" t="str">
        <x:v>Product</x:v>
      </x:c>
      <x:c r="E23" s="12" t="str">
        <x:v>Not Started</x:v>
      </x:c>
      <x:c r="F23" s="12" t="str"/>
    </x:row>
  </x:sheetData>
  <x:conditionalFormatting sqref="E2:E23">
    <x:cfRule type="expression" dxfId="6" priority="1">
      <x:formula>E2="Done"</x:formula>
    </x:cfRule>
    <x:cfRule type="expression" dxfId="7" priority="2">
      <x:formula>E2="Blocked"</x:formula>
    </x:cfRule>
  </x:conditionalFormatting>
  <x:dataValidations count="1">
    <x:dataValidation type="list" sqref="E2:E23">
      <x:formula1>"Not Started,In Progress,Blocked,Done,N/A,Deferred"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40" t="str">
        <x:v>UAT &amp; Release Sign-off</x:v>
      </x:c>
      <x:c r="B1" s="40"/>
      <x:c r="C1" s="40"/>
      <x:c r="D1" s="40"/>
      <x:c r="E1" s="40"/>
      <x:c r="F1" s="40"/>
    </x:row>
    <x:row r="3">
      <x:c r="A3" s="6" t="str">
        <x:v>Area</x:v>
      </x:c>
      <x:c r="B3" s="6" t="str">
        <x:v>Reviewer / Owner</x:v>
      </x:c>
      <x:c r="C3" s="6" t="str">
        <x:v>Status</x:v>
      </x:c>
      <x:c r="D3" s="6" t="str">
        <x:v>Date</x:v>
      </x:c>
      <x:c r="E3" s="6" t="str">
        <x:v>Signature / Approval</x:v>
      </x:c>
      <x:c r="F3" s="6" t="str">
        <x:v>Notes</x:v>
      </x:c>
    </x:row>
    <x:row r="4">
      <x:c r="A4" s="12" t="str">
        <x:v>Product / Business</x:v>
      </x:c>
      <x:c r="B4" s="12" t="str"/>
      <x:c r="C4" s="12" t="str">
        <x:v>Pending</x:v>
      </x:c>
      <x:c r="D4" s="12" t="str"/>
      <x:c r="E4" s="12" t="str"/>
      <x:c r="F4" s="12" t="str"/>
    </x:row>
    <x:row r="5">
      <x:c r="A5" s="12" t="str">
        <x:v>Quality Assurance</x:v>
      </x:c>
      <x:c r="B5" s="12" t="str"/>
      <x:c r="C5" s="12" t="str">
        <x:v>Pending</x:v>
      </x:c>
      <x:c r="D5" s="12" t="str"/>
      <x:c r="E5" s="12" t="str"/>
      <x:c r="F5" s="12" t="str"/>
    </x:row>
    <x:row r="6">
      <x:c r="A6" s="12" t="str">
        <x:v>Engineering</x:v>
      </x:c>
      <x:c r="B6" s="12" t="str"/>
      <x:c r="C6" s="12" t="str">
        <x:v>Pending</x:v>
      </x:c>
      <x:c r="D6" s="12" t="str"/>
      <x:c r="E6" s="12" t="str"/>
      <x:c r="F6" s="12" t="str"/>
    </x:row>
    <x:row r="7">
      <x:c r="A7" s="12" t="str">
        <x:v>Infrastructure / DevOps</x:v>
      </x:c>
      <x:c r="B7" s="12" t="str"/>
      <x:c r="C7" s="12" t="str">
        <x:v>Pending</x:v>
      </x:c>
      <x:c r="D7" s="12" t="str"/>
      <x:c r="E7" s="12" t="str"/>
      <x:c r="F7" s="12" t="str"/>
    </x:row>
    <x:row r="8">
      <x:c r="A8" s="12" t="str">
        <x:v>Security Review</x:v>
      </x:c>
      <x:c r="B8" s="12" t="str"/>
      <x:c r="C8" s="12" t="str">
        <x:v>Pending</x:v>
      </x:c>
      <x:c r="D8" s="12" t="str"/>
      <x:c r="E8" s="12" t="str"/>
      <x:c r="F8" s="12" t="str"/>
    </x:row>
    <x:row r="10">
      <x:c r="A10" s="42" t="str">
        <x:v>Release Decision</x:v>
      </x:c>
      <x:c r="B10" s="42" t="str">
        <x:v>Value</x:v>
      </x:c>
      <x:c r="C10" t="str"/>
      <x:c r="D10" t="str"/>
      <x:c r="E10" t="str"/>
      <x:c r="F10" t="str"/>
    </x:row>
    <x:row r="11">
      <x:c r="A11" t="str">
        <x:v>Target Build</x:v>
      </x:c>
      <x:c r="B11" t="str">
        <x:v>v0.12</x:v>
      </x:c>
      <x:c r="C11" t="str"/>
      <x:c r="D11" t="str"/>
      <x:c r="E11" t="str"/>
      <x:c r="F11" t="str"/>
    </x:row>
    <x:row r="12">
      <x:c r="A12" t="str">
        <x:v>Environment</x:v>
      </x:c>
      <x:c r="B12" t="str">
        <x:v>Staging</x:v>
      </x:c>
      <x:c r="C12" t="str"/>
      <x:c r="D12" t="str"/>
      <x:c r="E12" t="str"/>
      <x:c r="F12" t="str"/>
    </x:row>
    <x:row r="13">
      <x:c r="A13" t="str">
        <x:v>P0 / Critical Passed?</x:v>
      </x:c>
      <x:c r="B13" t="str"/>
      <x:c r="C13" t="str"/>
      <x:c r="D13" t="str"/>
      <x:c r="E13" t="str"/>
      <x:c r="F13" t="str"/>
    </x:row>
    <x:row r="14">
      <x:c r="A14" t="str">
        <x:v>Critical Defects Open</x:v>
      </x:c>
      <x:c r="B14" t="str"/>
      <x:c r="C14" t="str"/>
      <x:c r="D14" t="str"/>
      <x:c r="E14" t="str"/>
      <x:c r="F14" t="str"/>
    </x:row>
    <x:row r="15">
      <x:c r="A15" t="str">
        <x:v>Go / No-Go</x:v>
      </x:c>
      <x:c r="B15" t="str"/>
      <x:c r="C15" t="str"/>
      <x:c r="D15" t="str"/>
      <x:c r="E15" t="str"/>
      <x:c r="F15" t="str"/>
    </x:row>
    <x:row r="16">
      <x:c r="A16" t="str">
        <x:v>Decision Notes</x:v>
      </x:c>
      <x:c r="B16" t="str"/>
      <x:c r="C16" t="str"/>
      <x:c r="D16" t="str"/>
      <x:c r="E16" t="str"/>
      <x:c r="F16" t="str"/>
    </x:row>
  </x:sheetData>
  <x:mergeCells>
    <x:mergeCell ref="A1:F1"/>
  </x:mergeCells>
  <x:dataValidations count="1">
    <x:dataValidation type="list" sqref="C4:C8">
      <x:formula1>"Pending,Approved,Rejected,Conditional"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8" customHeight="1">
      <x:c r="A1" s="3" t="str">
        <x:v>Status</x:v>
      </x:c>
      <x:c r="B1" s="3" t="str">
        <x:v>Priority</x:v>
      </x:c>
      <x:c r="C1" s="3" t="str">
        <x:v>Severity</x:v>
      </x:c>
      <x:c r="D1" s="3" t="str">
        <x:v>Retest Status</x:v>
      </x:c>
      <x:c r="E1" s="3"/>
      <x:c r="F1" s="3" t="str">
        <x:v>Roles</x:v>
      </x:c>
      <x:c r="G1" s="3"/>
      <x:c r="H1" s="3" t="str">
        <x:v>Test Type</x:v>
      </x:c>
      <x:c r="I1" s="3"/>
      <x:c r="J1" s="3" t="str">
        <x:v>Staging Status</x:v>
      </x:c>
    </x:row>
    <x:row r="2">
      <x:c r="A2" t="str">
        <x:v>Not Run</x:v>
      </x:c>
      <x:c r="B2" t="str">
        <x:v>Critical</x:v>
      </x:c>
      <x:c r="C2" t="str">
        <x:v>Critical</x:v>
      </x:c>
      <x:c r="D2" t="str">
        <x:v>Not Retested</x:v>
      </x:c>
      <x:c r="F2" t="str">
        <x:v>Visitor</x:v>
      </x:c>
      <x:c r="H2" t="str">
        <x:v>Functional</x:v>
      </x:c>
      <x:c r="J2" t="str">
        <x:v>Not Started</x:v>
      </x:c>
    </x:row>
    <x:row r="3">
      <x:c r="A3" t="str">
        <x:v>Pass</x:v>
      </x:c>
      <x:c r="B3" t="str">
        <x:v>High</x:v>
      </x:c>
      <x:c r="C3" t="str">
        <x:v>Major</x:v>
      </x:c>
      <x:c r="D3" t="str">
        <x:v>Pass</x:v>
      </x:c>
      <x:c r="F3" t="str">
        <x:v>User</x:v>
      </x:c>
      <x:c r="H3" t="str">
        <x:v>Integration</x:v>
      </x:c>
      <x:c r="J3" t="str">
        <x:v>In Progress</x:v>
      </x:c>
    </x:row>
    <x:row r="4">
      <x:c r="A4" t="str">
        <x:v>Fail</x:v>
      </x:c>
      <x:c r="B4" t="str">
        <x:v>Medium</x:v>
      </x:c>
      <x:c r="C4" t="str">
        <x:v>Minor</x:v>
      </x:c>
      <x:c r="D4" t="str">
        <x:v>Fail</x:v>
      </x:c>
      <x:c r="F4" t="str">
        <x:v>Editor</x:v>
      </x:c>
      <x:c r="H4" t="str">
        <x:v>Negative</x:v>
      </x:c>
      <x:c r="J4" t="str">
        <x:v>Blocked</x:v>
      </x:c>
    </x:row>
    <x:row r="5">
      <x:c r="A5" t="str">
        <x:v>Blocked</x:v>
      </x:c>
      <x:c r="B5" t="str">
        <x:v>Low</x:v>
      </x:c>
      <x:c r="C5" t="str">
        <x:v>Cosmetic</x:v>
      </x:c>
      <x:c r="D5" t="str">
        <x:v>Blocked</x:v>
      </x:c>
      <x:c r="F5" t="str">
        <x:v>Customer Service</x:v>
      </x:c>
      <x:c r="H5" t="str">
        <x:v>Security</x:v>
      </x:c>
      <x:c r="J5" t="str">
        <x:v>Done</x:v>
      </x:c>
    </x:row>
    <x:row r="6">
      <x:c r="A6" t="str">
        <x:v>N/A</x:v>
      </x:c>
      <x:c r="B6" t="str"/>
      <x:c r="C6" t="str"/>
      <x:c r="D6" t="str">
        <x:v>N/A</x:v>
      </x:c>
      <x:c r="F6" t="str">
        <x:v>Admin</x:v>
      </x:c>
      <x:c r="H6" t="str">
        <x:v>Regression</x:v>
      </x:c>
      <x:c r="J6" t="str">
        <x:v>N/A</x:v>
      </x:c>
    </x:row>
    <x:row r="7">
      <x:c r="A7" t="str"/>
      <x:c r="B7" t="str"/>
      <x:c r="C7" t="str"/>
      <x:c r="D7" t="str"/>
      <x:c r="F7" t="str">
        <x:v>All</x:v>
      </x:c>
      <x:c r="H7" t="str">
        <x:v>UI</x:v>
      </x:c>
      <x:c r="J7" t="str">
        <x:v>Deferred</x:v>
      </x:c>
    </x:row>
    <x:row r="8">
      <x:c r="A8" t="str"/>
      <x:c r="B8" t="str"/>
      <x:c r="C8" t="str"/>
      <x:c r="D8" t="str"/>
      <x:c r="F8" t="str">
        <x:v>System</x:v>
      </x:c>
      <x:c r="H8" t="str">
        <x:v>Data</x:v>
      </x:c>
      <x:c r="J8" t="str"/>
    </x:row>
    <x:row r="9">
      <x:c r="F9" t="str">
        <x:v>DevOps</x:v>
      </x:c>
      <x:c r="H9" t="str">
        <x:v>Deployment</x:v>
      </x:c>
    </x:row>
    <x:row r="10">
      <x:c r="F10" t="str">
        <x:v>Infra</x:v>
      </x:c>
    </x:row>
    <x:row r="11">
      <x:c r="F11" t="str">
        <x:v>QA</x:v>
      </x:c>
    </x:row>
    <x:row r="12">
      <x:c r="F12" t="str">
        <x:v>Engineering</x:v>
      </x:c>
    </x:row>
    <x:row r="13">
      <x:c r="F13" t="str">
        <x:v>Product/QA</x:v>
      </x:c>
    </x:row>
    <x:row r="14">
      <x:c r="F14" t="str">
        <x:v>Product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32" hidden="0" customWidth="1"/>
    <x:col min="5" max="5" width="24" hidden="0" customWidth="1"/>
    <x:col min="6" max="6" width="42" hidden="0" customWidth="1"/>
  </x:cols>
  <x:sheetData>
    <x:row r="1">
      <x:c r="A1" s="48" t="str">
        <x:v>ikrarku Sites v0.12 — QA Execution Summary</x:v>
      </x:c>
      <x:c r="B1" s="48"/>
      <x:c r="C1" s="48"/>
      <x:c r="D1" s="48"/>
      <x:c r="E1" s="48"/>
      <x:c r="F1" s="48"/>
    </x:row>
    <x:row r="2">
      <x:c r="A2" s="12"/>
      <x:c r="B2" s="12"/>
      <x:c r="C2" s="12"/>
      <x:c r="D2" s="12"/>
      <x:c r="E2" s="12"/>
      <x:c r="F2" s="12"/>
    </x:row>
    <x:row r="3">
      <x:c r="A3" s="49" t="str">
        <x:v>Check</x:v>
      </x:c>
      <x:c r="B3" s="49" t="str">
        <x:v>Result</x:v>
      </x:c>
      <x:c r="C3" s="49" t="str">
        <x:v>Coverage</x:v>
      </x:c>
      <x:c r="D3" s="49" t="str">
        <x:v>Evidence</x:v>
      </x:c>
      <x:c r="E3" s="49" t="str">
        <x:v>Environment</x:v>
      </x:c>
      <x:c r="F3" s="49" t="str">
        <x:v>Notes</x:v>
      </x:c>
    </x:row>
    <x:row r="4">
      <x:c r="A4" s="12" t="str">
        <x:v>TypeScript project build</x:v>
      </x:c>
      <x:c r="B4" s="12" t="str">
        <x:v>PASS</x:v>
      </x:c>
      <x:c r="C4" s="12" t="str">
        <x:v>Frontend compile</x:v>
      </x:c>
      <x:c r="D4" s="12" t="str">
        <x:v>tsc -b</x:v>
      </x:c>
      <x:c r="E4" s="12" t="str">
        <x:v>QA container</x:v>
      </x:c>
      <x:c r="F4" s="12" t="str">
        <x:v>No TypeScript errors</x:v>
      </x:c>
    </x:row>
    <x:row r="5">
      <x:c r="A5" s="12" t="str">
        <x:v>Vite production build</x:v>
      </x:c>
      <x:c r="B5" s="12" t="str">
        <x:v>PASS</x:v>
      </x:c>
      <x:c r="C5" s="12" t="str">
        <x:v>Production frontend bundle</x:v>
      </x:c>
      <x:c r="D5" s="12" t="str">
        <x:v>vite build</x:v>
      </x:c>
      <x:c r="E5" s="12" t="str">
        <x:v>QA container</x:v>
      </x:c>
      <x:c r="F5" s="12" t="str">
        <x:v>Bundle warning &gt;500 KB remains optimization item</x:v>
      </x:c>
    </x:row>
    <x:row r="6">
      <x:c r="A6" s="12" t="str">
        <x:v>Server syntax</x:v>
      </x:c>
      <x:c r="B6" s="12" t="str">
        <x:v>PASS</x:v>
      </x:c>
      <x:c r="C6" s="12" t="str">
        <x:v>Node backend syntax</x:v>
      </x:c>
      <x:c r="D6" s="12" t="str">
        <x:v>node --check server/index.mjs</x:v>
      </x:c>
      <x:c r="E6" s="12" t="str">
        <x:v>QA container</x:v>
      </x:c>
      <x:c r="F6" s="12" t="str">
        <x:v>No syntax errors</x:v>
      </x:c>
    </x:row>
    <x:row r="7">
      <x:c r="A7" s="12" t="str">
        <x:v>Staging preflight</x:v>
      </x:c>
      <x:c r="B7" s="12" t="str">
        <x:v>PASS</x:v>
      </x:c>
      <x:c r="C7" s="12" t="str">
        <x:v>Node version + registry checks</x:v>
      </x:c>
      <x:c r="D7" s="12" t="str">
        <x:v>node scripts/preflight.mjs</x:v>
      </x:c>
      <x:c r="E7" s="12" t="str">
        <x:v>QA container</x:v>
      </x:c>
      <x:c r="F7" s="12" t="str">
        <x:v>Node 22.16.0</x:v>
      </x:c>
    </x:row>
    <x:row r="8">
      <x:c r="A8" s="12" t="str">
        <x:v>Static QA suite</x:v>
      </x:c>
      <x:c r="B8" s="12" t="str">
        <x:v>PASS</x:v>
      </x:c>
      <x:c r="C8" s="12" t="str">
        <x:v>Security/product contracts</x:v>
      </x:c>
      <x:c r="D8" s="12" t="str">
        <x:v>28/28</x:v>
      </x:c>
      <x:c r="E8" s="12" t="str">
        <x:v>QA container</x:v>
      </x:c>
      <x:c r="F8" s="12" t="str">
        <x:v>All checks passed</x:v>
      </x:c>
    </x:row>
    <x:row r="9">
      <x:c r="A9" s="12" t="str">
        <x:v>SQLite QA suite</x:v>
      </x:c>
      <x:c r="B9" s="12" t="str">
        <x:v>PASS</x:v>
      </x:c>
      <x:c r="C9" s="12" t="str">
        <x:v>Schema/FK/unique/assignment</x:v>
      </x:c>
      <x:c r="D9" s="12" t="str">
        <x:v>27/27</x:v>
      </x:c>
      <x:c r="E9" s="12" t="str">
        <x:v>In-memory node:sqlite</x:v>
      </x:c>
      <x:c r="F9" s="12" t="str">
        <x:v>All checks passed</x:v>
      </x:c>
    </x:row>
    <x:row r="10">
      <x:c r="A10" s="12" t="str">
        <x:v>Oxlint</x:v>
      </x:c>
      <x:c r="B10" s="12" t="str">
        <x:v>PASS</x:v>
      </x:c>
      <x:c r="C10" s="12" t="str">
        <x:v>JS/TS lint</x:v>
      </x:c>
      <x:c r="D10" s="12" t="str">
        <x:v>0 errors</x:v>
      </x:c>
      <x:c r="E10" s="12" t="str">
        <x:v>QA container</x:v>
      </x:c>
      <x:c r="F10" s="12" t="str">
        <x:v>Only source-length display warning</x:v>
      </x:c>
    </x:row>
    <x:row r="11">
      <x:c r="A11" s="12" t="str">
        <x:v>Browser/device execution</x:v>
      </x:c>
      <x:c r="B11" s="12" t="str">
        <x:v>BLOCKED</x:v>
      </x:c>
      <x:c r="C11" s="12" t="str">
        <x:v>Chrome/Edge/Firefox/Safari/mobile</x:v>
      </x:c>
      <x:c r="D11" s="12" t="str">
        <x:v>Browser Matrix</x:v>
      </x:c>
      <x:c r="E11" s="12" t="str">
        <x:v>Environment limitation</x:v>
      </x:c>
      <x:c r="F11" s="12" t="str">
        <x:v>Run on staging</x:v>
      </x:c>
    </x:row>
    <x:row r="12">
      <x:c r="A12" s="12" t="str">
        <x:v>Docker persistence</x:v>
      </x:c>
      <x:c r="B12" s="12" t="str">
        <x:v>BLOCKED</x:v>
      </x:c>
      <x:c r="C12" s="12" t="str">
        <x:v>Container/volumes</x:v>
      </x:c>
      <x:c r="D12" s="12" t="str">
        <x:v>Staging Readiness</x:v>
      </x:c>
      <x:c r="E12" s="12" t="str">
        <x:v>Docker unavailable</x:v>
      </x:c>
      <x:c r="F12" s="12" t="str">
        <x:v>Run on staging host</x:v>
      </x:c>
    </x:row>
    <x:row r="13">
      <x:c r="A13" s="12" t="str">
        <x:v>SMTP delivery</x:v>
      </x:c>
      <x:c r="B13" s="12" t="str">
        <x:v>BLOCKED</x:v>
      </x:c>
      <x:c r="C13" s="12" t="str">
        <x:v>Verification/receipt delivery</x:v>
      </x:c>
      <x:c r="D13" s="12" t="str">
        <x:v>Email outbox path verified</x:v>
      </x:c>
      <x:c r="E13" s="12" t="str">
        <x:v>No SMTP credentials</x:v>
      </x:c>
      <x:c r="F13" s="12" t="str">
        <x:v>Run with staging SMTP</x:v>
      </x:c>
    </x:row>
    <x:row r="14">
      <x:c r="A14" s="12" t="str">
        <x:v>Payment gateway webhook</x:v>
      </x:c>
      <x:c r="B14" s="12" t="str">
        <x:v>BLOCKED</x:v>
      </x:c>
      <x:c r="C14" s="12" t="str">
        <x:v>Live payment confirmation</x:v>
      </x:c>
      <x:c r="D14" s="12" t="str">
        <x:v>Production guard verified</x:v>
      </x:c>
      <x:c r="E14" s="12" t="str">
        <x:v>Gateway credential absent</x:v>
      </x:c>
      <x:c r="F14" s="12" t="str">
        <x:v>Simulation remains staging-only</x:v>
      </x:c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