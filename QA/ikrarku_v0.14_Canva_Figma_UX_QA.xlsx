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f8b722a16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817423f6c364adb"/>
    <x:sheet xmlns:r="http://schemas.openxmlformats.org/officeDocument/2006/relationships" name="Research Benchmark" sheetId="2" r:id="R04208840d0b44def"/>
    <x:sheet xmlns:r="http://schemas.openxmlformats.org/officeDocument/2006/relationships" name="Feedback 8 Items" sheetId="3" r:id="Rceb93842b6544915"/>
    <x:sheet xmlns:r="http://schemas.openxmlformats.org/officeDocument/2006/relationships" name="Landing Page QA" sheetId="4" r:id="Re6c081a1cb204a51"/>
    <x:sheet xmlns:r="http://schemas.openxmlformats.org/officeDocument/2006/relationships" name="Canvas UX QA" sheetId="5" r:id="R1359ff6e0f4a4dee"/>
    <x:sheet xmlns:r="http://schemas.openxmlformats.org/officeDocument/2006/relationships" name="Feature Library Scan" sheetId="6" r:id="R64180deaecec42a6"/>
    <x:sheet xmlns:r="http://schemas.openxmlformats.org/officeDocument/2006/relationships" name="Feature QA Details" sheetId="7" r:id="R49cba428c7ef4e04"/>
    <x:sheet xmlns:r="http://schemas.openxmlformats.org/officeDocument/2006/relationships" name="Buka Undangan QA" sheetId="8" r:id="Rf6ff9ffeebfc4511"/>
    <x:sheet xmlns:r="http://schemas.openxmlformats.org/officeDocument/2006/relationships" name="Edge Cases" sheetId="9" r:id="Rd303789effab4cfd"/>
    <x:sheet xmlns:r="http://schemas.openxmlformats.org/officeDocument/2006/relationships" name="Execution Guide" sheetId="10" r:id="Reb5888dc0aa44a43"/>
    <x:sheet xmlns:r="http://schemas.openxmlformats.org/officeDocument/2006/relationships" name="Defect Log" sheetId="11" r:id="R9e1907e0aead45e7"/>
    <x:sheet xmlns:r="http://schemas.openxmlformats.org/officeDocument/2006/relationships" name="Reference" sheetId="12" r:id="R9e4bcffe860b4e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1"/>
      <x:color rgb="FF253A33"/>
      <x:name val="Carlito"/>
    </x:font>
    <x:font>
      <x:b/>
      <x:sz val="13"/>
      <x:color rgb="FF0C4134"/>
      <x:name val="Carlito"/>
    </x:font>
    <x:font>
      <x:b/>
      <x:sz val="18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5946"/>
      </x:patternFill>
    </x:fill>
    <x:fill>
      <x:patternFill patternType="solid">
        <x:fgColor rgb="FF0C4134"/>
      </x:patternFill>
    </x:fill>
    <x:fill>
      <x:patternFill patternType="solid">
        <x:fgColor rgb="FFF8F2E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</x:cellXfs>
  <x:cellStyles count="1">
    <x:cellStyle name="Normal" xfId="0"/>
  </x:cellStyles>
  <x:dxfs count="54"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7791F"/>
      </x:font>
      <x:fill>
        <x:patternFill patternType="solid">
          <x:bgColor rgb="FFF7E8C8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4C6F95"/>
      </x:font>
      <x:fill>
        <x:patternFill patternType="solid">
          <x:bgColor rgb="FFE7ECF5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B7791F"/>
      </x:font>
      <x:fill>
        <x:patternFill patternType="solid">
          <x:bgColor rgb="FFF7E8C8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7791F"/>
      </x:font>
      <x:fill>
        <x:patternFill patternType="solid">
          <x:bgColor rgb="FFF7E8C8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4C6F95"/>
      </x:font>
      <x:fill>
        <x:patternFill patternType="solid">
          <x:bgColor rgb="FFE7ECF5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B7791F"/>
      </x:font>
      <x:fill>
        <x:patternFill patternType="solid">
          <x:bgColor rgb="FFF7E8C8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7791F"/>
      </x:font>
      <x:fill>
        <x:patternFill patternType="solid">
          <x:bgColor rgb="FFF7E8C8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4C6F95"/>
      </x:font>
      <x:fill>
        <x:patternFill patternType="solid">
          <x:bgColor rgb="FFE7ECF5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B7791F"/>
      </x:font>
      <x:fill>
        <x:patternFill patternType="solid">
          <x:bgColor rgb="FFF7E8C8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7791F"/>
      </x:font>
      <x:fill>
        <x:patternFill patternType="solid">
          <x:bgColor rgb="FFF7E8C8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B7791F"/>
      </x:font>
      <x:fill>
        <x:patternFill patternType="solid">
          <x:bgColor rgb="FFF7E8C8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7791F"/>
      </x:font>
      <x:fill>
        <x:patternFill patternType="solid">
          <x:bgColor rgb="FFF7E8C8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4C6F95"/>
      </x:font>
      <x:fill>
        <x:patternFill patternType="solid">
          <x:bgColor rgb="FFE7ECF5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B7791F"/>
      </x:font>
      <x:fill>
        <x:patternFill patternType="solid">
          <x:bgColor rgb="FFF7E8C8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7791F"/>
      </x:font>
      <x:fill>
        <x:patternFill patternType="solid">
          <x:bgColor rgb="FFF7E8C8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4C6F95"/>
      </x:font>
      <x:fill>
        <x:patternFill patternType="solid">
          <x:bgColor rgb="FFE7ECF5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B7791F"/>
      </x:font>
      <x:fill>
        <x:patternFill patternType="solid">
          <x:bgColor rgb="FFF7E8C8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B7791F"/>
      </x:font>
      <x:fill>
        <x:patternFill patternType="solid">
          <x:bgColor rgb="FFF7E8C8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B7791F"/>
      </x:font>
      <x:fill>
        <x:patternFill patternType="solid">
          <x:bgColor rgb="FFF7E8C8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d46f2813a04ad8" /><Relationship Type="http://schemas.openxmlformats.org/officeDocument/2006/relationships/theme" Target="/xl/theme/theme1.xml" Id="R9bf1b38d56d84a15" /><Relationship Type="http://schemas.openxmlformats.org/officeDocument/2006/relationships/sharedStrings" Target="/xl/sharedStrings.xml" Id="R413a2d608c0a40e6" /><Relationship Type="http://schemas.openxmlformats.org/officeDocument/2006/relationships/worksheet" Target="/xl/worksheets/sheet1.xml" Id="R4817423f6c364adb" /><Relationship Type="http://schemas.openxmlformats.org/officeDocument/2006/relationships/worksheet" Target="/xl/worksheets/sheet2.xml" Id="R04208840d0b44def" /><Relationship Type="http://schemas.openxmlformats.org/officeDocument/2006/relationships/worksheet" Target="/xl/worksheets/sheet3.xml" Id="Rceb93842b6544915" /><Relationship Type="http://schemas.openxmlformats.org/officeDocument/2006/relationships/worksheet" Target="/xl/worksheets/sheet4.xml" Id="Re6c081a1cb204a51" /><Relationship Type="http://schemas.openxmlformats.org/officeDocument/2006/relationships/worksheet" Target="/xl/worksheets/sheet5.xml" Id="R1359ff6e0f4a4dee" /><Relationship Type="http://schemas.openxmlformats.org/officeDocument/2006/relationships/worksheet" Target="/xl/worksheets/sheet6.xml" Id="R64180deaecec42a6" /><Relationship Type="http://schemas.openxmlformats.org/officeDocument/2006/relationships/worksheet" Target="/xl/worksheets/sheet7.xml" Id="R49cba428c7ef4e04" /><Relationship Type="http://schemas.openxmlformats.org/officeDocument/2006/relationships/worksheet" Target="/xl/worksheets/sheet8.xml" Id="Rf6ff9ffeebfc4511" /><Relationship Type="http://schemas.openxmlformats.org/officeDocument/2006/relationships/worksheet" Target="/xl/worksheets/sheet9.xml" Id="Rd303789effab4cfd" /><Relationship Type="http://schemas.openxmlformats.org/officeDocument/2006/relationships/worksheet" Target="/xl/worksheets/sheet10.xml" Id="Reb5888dc0aa44a43" /><Relationship Type="http://schemas.openxmlformats.org/officeDocument/2006/relationships/worksheet" Target="/xl/worksheets/sheet11.xml" Id="R9e1907e0aead45e7" /><Relationship Type="http://schemas.openxmlformats.org/officeDocument/2006/relationships/worksheet" Target="/xl/worksheets/sheet12.xml" Id="R9e4bcffe860b4e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1a03739b144e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UX Pre-Audit by Area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Meets</c:v>
          </c:tx>
          <c:cat>
            <c:strRef>
              <c:f>'Dashboard'!$D$7:$D$10</c:f>
              <c:strCache>
                <c:ptCount val="0"/>
              </c:strCache>
            </c:strRef>
          </c:cat>
          <c:val>
            <c:numRef>
              <c:f>'Dashboard'!$E$7:$E$10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Partial</c:v>
          </c:tx>
          <c:cat>
            <c:strRef>
              <c:f>'Dashboard'!$D$7:$D$10</c:f>
              <c:strCache>
                <c:ptCount val="0"/>
              </c:strCache>
            </c:strRef>
          </c:cat>
          <c:val>
            <c:numRef>
              <c:f>'Dashboard'!$F$7:$F$10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Gap / Fail</c:v>
          </c:tx>
          <c:cat>
            <c:strRef>
              <c:f>'Dashboard'!$D$7:$D$10</c:f>
              <c:strCache>
                <c:ptCount val="0"/>
              </c:strCache>
            </c:strRef>
          </c:cat>
          <c:val>
            <c:numRef>
              <c:f>'Dashboard'!$G$7:$G$10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Needs User Test</c:v>
          </c:tx>
          <c:cat>
            <c:strRef>
              <c:f>'Dashboard'!$D$7:$D$10</c:f>
              <c:strCache>
                <c:ptCount val="0"/>
              </c:strCache>
            </c:strRef>
          </c:cat>
          <c:val>
            <c:numRef>
              <c:f>'Dashboard'!$H$7:$H$10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1a03739b144ec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earchTable" displayName="ResearchTable" ref="A1:E16" headerRowCount="1" totalsRowCount="0" totalsRowShown="0">
  <x:tableColumns count="5">
    <x:tableColumn id="1" name="Source ID"/>
    <x:tableColumn id="2" name="Product"/>
    <x:tableColumn id="3" name="Official Reference"/>
    <x:tableColumn id="4" name="QA expectation extracted"/>
    <x:tableColumn id="5" name="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edbackTable" displayName="FeedbackTable" ref="A1:L9" headerRowCount="1" totalsRowCount="0" totalsRowShown="0">
  <x:tableColumns count="12">
    <x:tableColumn id="1" name="Feedback ID"/>
    <x:tableColumn id="2" name="Area"/>
    <x:tableColumn id="3" name="User feedback / requirement"/>
    <x:tableColumn id="4" name="Evidence v0.14 / QA result"/>
    <x:tableColumn id="5" name="Status"/>
    <x:tableColumn id="6" name="Priority"/>
    <x:tableColumn id="7" name="Expected improvement"/>
    <x:tableColumn id="8" name="Research Source IDs"/>
    <x:tableColumn id="9" name="Owner"/>
    <x:tableColumn id="10" name="Target Version"/>
    <x:tableColumn id="11" name="Retest Result"/>
    <x:tableColumn id="1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ndingQATable" displayName="LandingQATable" ref="A1:N26" headerRowCount="1" totalsRowCount="0" totalsRowShown="0">
  <x:tableColumns count="14">
    <x:tableColumn id="1" name="QA ID"/>
    <x:tableColumn id="2" name="Area"/>
    <x:tableColumn id="3" name="Scenario"/>
    <x:tableColumn id="4" name="Best-Practice Expectation"/>
    <x:tableColumn id="5" name="Current v0.14"/>
    <x:tableColumn id="6" name="Pre-Audit"/>
    <x:tableColumn id="7" name="Priority"/>
    <x:tableColumn id="8" name="Test Method"/>
    <x:tableColumn id="9" name="Edge Case"/>
    <x:tableColumn id="10" name="Source IDs"/>
    <x:tableColumn id="11" name="Tester Result"/>
    <x:tableColumn id="12" name="Actual Observation"/>
    <x:tableColumn id="13" name="Defect ID"/>
    <x:tableColumn id="1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nvasQATable" displayName="CanvasQATable" ref="A1:N36" headerRowCount="1" totalsRowCount="0" totalsRowShown="0">
  <x:tableColumns count="14">
    <x:tableColumn id="1" name="QA ID"/>
    <x:tableColumn id="2" name="Area"/>
    <x:tableColumn id="3" name="Scenario"/>
    <x:tableColumn id="4" name="Best-Practice Expectation"/>
    <x:tableColumn id="5" name="Current v0.14"/>
    <x:tableColumn id="6" name="Pre-Audit"/>
    <x:tableColumn id="7" name="Priority"/>
    <x:tableColumn id="8" name="Test Method"/>
    <x:tableColumn id="9" name="Edge Case"/>
    <x:tableColumn id="10" name="Source IDs"/>
    <x:tableColumn id="11" name="Tester Result"/>
    <x:tableColumn id="12" name="Actual Observation"/>
    <x:tableColumn id="13" name="Defect ID"/>
    <x:tableColumn id="14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eatureScanTable" displayName="FeatureScanTable" ref="A1:L14" headerRowCount="1" totalsRowCount="0" totalsRowShown="0">
  <x:tableColumns count="12">
    <x:tableColumn id="1" name="Feature ID"/>
    <x:tableColumn id="2" name="Feature"/>
    <x:tableColumn id="3" name="Internal Type"/>
    <x:tableColumn id="4" name="Pre-Audit Grade"/>
    <x:tableColumn id="5" name="Gradient Rendering v0.14"/>
    <x:tableColumn id="6" name="Alignment v0.14"/>
    <x:tableColumn id="7" name="Current Capability"/>
    <x:tableColumn id="8" name="Required Improvement"/>
    <x:tableColumn id="9" name="Priority"/>
    <x:tableColumn id="10" name="Tester Result"/>
    <x:tableColumn id="11" name="Defect ID"/>
    <x:tableColumn id="12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eatureDetailTable" displayName="FeatureDetailTable" ref="A1:M105" headerRowCount="1" totalsRowCount="0" totalsRowShown="0">
  <x:tableColumns count="13">
    <x:tableColumn id="1" name="QA ID"/>
    <x:tableColumn id="2" name="Feature"/>
    <x:tableColumn id="3" name="Dimension"/>
    <x:tableColumn id="4" name="Expected"/>
    <x:tableColumn id="5" name="Current v0.14"/>
    <x:tableColumn id="6" name="Pre-Audit"/>
    <x:tableColumn id="7" name="Priority"/>
    <x:tableColumn id="8" name="Edge Case"/>
    <x:tableColumn id="9" name="Source IDs"/>
    <x:tableColumn id="10" name="Tester Result"/>
    <x:tableColumn id="11" name="Actual Observation"/>
    <x:tableColumn id="12" name="Defect ID"/>
    <x:tableColumn id="1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ukaUndanganTable" displayName="BukaUndanganTable" ref="A1:M26" headerRowCount="1" totalsRowCount="0" totalsRowShown="0">
  <x:tableColumns count="13">
    <x:tableColumn id="1" name="QA ID"/>
    <x:tableColumn id="2" name="Group"/>
    <x:tableColumn id="3" name="Scenario"/>
    <x:tableColumn id="4" name="Expected UX"/>
    <x:tableColumn id="5" name="Current v0.14"/>
    <x:tableColumn id="6" name="Pre-Audit"/>
    <x:tableColumn id="7" name="Priority"/>
    <x:tableColumn id="8" name="Edge Case"/>
    <x:tableColumn id="9" name="Source IDs"/>
    <x:tableColumn id="10" name="Tester Result"/>
    <x:tableColumn id="11" name="Actual Observation"/>
    <x:tableColumn id="12" name="Defect ID"/>
    <x:tableColumn id="13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dgeCaseTable" displayName="EdgeCaseTable" ref="A1:L67" headerRowCount="1" totalsRowCount="0" totalsRowShown="0">
  <x:tableColumns count="12">
    <x:tableColumn id="1" name="Edge ID"/>
    <x:tableColumn id="2" name="Module"/>
    <x:tableColumn id="3" name="Edge Case"/>
    <x:tableColumn id="4" name="Precondition / Data"/>
    <x:tableColumn id="5" name="Action"/>
    <x:tableColumn id="6" name="Expected Result"/>
    <x:tableColumn id="7" name="Priority"/>
    <x:tableColumn id="8" name="Research Source"/>
    <x:tableColumn id="9" name="Tester Result"/>
    <x:tableColumn id="10" name="Actual Result"/>
    <x:tableColumn id="11" name="Defect ID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9b7c4d15af940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3a206a44ab4f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588189f7ff4c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d786d7f14849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df18bf50c74a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aefd2086c4a45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183be6446b4c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64176870eb42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aa8b18169c494f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3" hidden="0" customWidth="1"/>
    <x:col min="3" max="3" width="30" hidden="0" customWidth="1"/>
    <x:col min="4" max="4" width="72" hidden="0" customWidth="1"/>
    <x:col min="5" max="5" width="26" hidden="0" customWidth="1"/>
  </x:cols>
  <x:sheetData>
    <x:row r="1" ht="28" customHeight="1">
      <x:c r="A1" s="17" t="str">
        <x:v>ikrarku v0.14 — Canva/Figma UX Benchmark QA</x:v>
      </x:c>
      <x:c r="B1" s="17"/>
      <x:c r="C1" s="17"/>
      <x:c r="D1" s="17"/>
      <x:c r="E1" s="17"/>
      <x:c r="F1" s="17"/>
      <x:c r="G1" s="17"/>
      <x:c r="H1" s="17"/>
    </x:row>
    <x:row r="2">
      <x:c r="A2" s="17"/>
      <x:c r="B2" s="17"/>
      <x:c r="C2" s="17"/>
      <x:c r="D2" s="17"/>
      <x:c r="E2" s="17"/>
      <x:c r="F2" s="17"/>
      <x:c r="G2" s="17"/>
      <x:c r="H2" s="17"/>
    </x:row>
    <x:row r="4">
      <x:c r="A4" s="24" t="str">
        <x:v>Scope: source-level pre-audit v0.14 + Product Owner feedback + official Canva/Figma UX benchmark. Pre-Audit is not a substitute for human UAT; Tester Result columns are prepared for execution.</x:v>
      </x:c>
      <x:c r="B4" s="24"/>
      <x:c r="C4" s="24"/>
      <x:c r="D4" s="24"/>
      <x:c r="E4" s="24"/>
      <x:c r="F4" s="24"/>
      <x:c r="G4" s="24"/>
      <x:c r="H4" s="24"/>
    </x:row>
    <x:row r="6">
      <x:c r="A6" s="6" t="str">
        <x:v>QA Scope</x:v>
      </x:c>
      <x:c r="B6" s="6" t="str">
        <x:v>Count</x:v>
      </x:c>
      <x:c r="D6" s="6" t="str">
        <x:v>Area</x:v>
      </x:c>
      <x:c r="E6" s="6" t="str">
        <x:v>Meets</x:v>
      </x:c>
      <x:c r="F6" s="6" t="str">
        <x:v>Partial</x:v>
      </x:c>
      <x:c r="G6" s="6" t="str">
        <x:v>Gap / Fail</x:v>
      </x:c>
      <x:c r="H6" s="6" t="str">
        <x:v>Needs User Test</x:v>
      </x:c>
    </x:row>
    <x:row r="7">
      <x:c r="A7" t="str">
        <x:v>User Feedback Items</x:v>
      </x:c>
      <x:c r="B7" t="n">
        <x:f>COUNTA('Feedback 8 Items'!A2:A20)</x:f>
        <x:v>8</x:v>
      </x:c>
      <x:c r="D7" t="str">
        <x:v>Landing</x:v>
      </x:c>
      <x:c r="E7" t="n">
        <x:f>COUNTIF('Landing Page QA'!F2:F200,"Meets")</x:f>
        <x:v>3</x:v>
      </x:c>
      <x:c r="F7" t="n">
        <x:f>COUNTIF('Landing Page QA'!F2:F200,"Partial")</x:f>
        <x:v>7</x:v>
      </x:c>
      <x:c r="G7" t="n">
        <x:f>COUNTIF('Landing Page QA'!F2:F200,"Gap")+COUNTIF('Landing Page QA'!F2:F200,"Fail")</x:f>
        <x:v>8</x:v>
      </x:c>
      <x:c r="H7" t="n">
        <x:f>COUNTIF('Landing Page QA'!F2:F200,"Needs User Test")</x:f>
        <x:v>7</x:v>
      </x:c>
    </x:row>
    <x:row r="8">
      <x:c r="A8" t="str">
        <x:v>Landing QA</x:v>
      </x:c>
      <x:c r="B8" t="n">
        <x:f>COUNTA('Landing Page QA'!A2:A200)</x:f>
        <x:v>25</x:v>
      </x:c>
      <x:c r="D8" t="str">
        <x:v>Canvas</x:v>
      </x:c>
      <x:c r="E8" t="n">
        <x:f>COUNTIF('Canvas UX QA'!F2:F200,"Meets")</x:f>
        <x:v>11</x:v>
      </x:c>
      <x:c r="F8" t="n">
        <x:f>COUNTIF('Canvas UX QA'!F2:F200,"Partial")</x:f>
        <x:v>7</x:v>
      </x:c>
      <x:c r="G8" t="n">
        <x:f>COUNTIF('Canvas UX QA'!F2:F200,"Gap")+COUNTIF('Canvas UX QA'!F2:F200,"Fail")</x:f>
        <x:v>16</x:v>
      </x:c>
      <x:c r="H8" t="n">
        <x:f>COUNTIF('Canvas UX QA'!F2:F200,"Needs User Test")</x:f>
        <x:v>1</x:v>
      </x:c>
    </x:row>
    <x:row r="9">
      <x:c r="A9" t="str">
        <x:v>Canvas UX QA</x:v>
      </x:c>
      <x:c r="B9" t="n">
        <x:f>COUNTA('Canvas UX QA'!A2:A200)</x:f>
        <x:v>35</x:v>
      </x:c>
      <x:c r="D9" t="str">
        <x:v>Feature Library</x:v>
      </x:c>
      <x:c r="E9" t="n">
        <x:f>COUNTIF('Feature QA Details'!F2:F300,"Meets")</x:f>
        <x:v>19</x:v>
      </x:c>
      <x:c r="F9" t="n">
        <x:f>COUNTIF('Feature QA Details'!F2:F300,"Partial")</x:f>
        <x:v>56</x:v>
      </x:c>
      <x:c r="G9" t="n">
        <x:f>COUNTIF('Feature QA Details'!F2:F300,"Gap")+COUNTIF('Feature QA Details'!F2:F300,"Fail")</x:f>
        <x:v>16</x:v>
      </x:c>
      <x:c r="H9" t="n">
        <x:f>COUNTIF('Feature QA Details'!F2:F300,"Needs User Test")</x:f>
        <x:v>13</x:v>
      </x:c>
    </x:row>
    <x:row r="10">
      <x:c r="A10" t="str">
        <x:v>Feature Detail QA</x:v>
      </x:c>
      <x:c r="B10" t="n">
        <x:f>COUNTA('Feature QA Details'!A2:A300)</x:f>
        <x:v>104</x:v>
      </x:c>
      <x:c r="D10" t="str">
        <x:v>Buka Undangan</x:v>
      </x:c>
      <x:c r="E10" t="n">
        <x:f>COUNTIF('Buka Undangan QA'!F2:F200,"Meets")</x:f>
        <x:v>2</x:v>
      </x:c>
      <x:c r="F10" t="n">
        <x:f>COUNTIF('Buka Undangan QA'!F2:F200,"Partial")</x:f>
        <x:v>4</x:v>
      </x:c>
      <x:c r="G10" t="n">
        <x:f>COUNTIF('Buka Undangan QA'!F2:F200,"Gap")+COUNTIF('Buka Undangan QA'!F2:F200,"Fail")</x:f>
        <x:v>15</x:v>
      </x:c>
      <x:c r="H10" t="n">
        <x:f>COUNTIF('Buka Undangan QA'!F2:F200,"Needs User Test")</x:f>
        <x:v>4</x:v>
      </x:c>
    </x:row>
    <x:row r="11">
      <x:c r="A11" t="str">
        <x:v>Buka Undangan QA</x:v>
      </x:c>
      <x:c r="B11" t="n">
        <x:f>COUNTA('Buka Undangan QA'!A2:A200)</x:f>
        <x:v>25</x:v>
      </x:c>
    </x:row>
    <x:row r="12">
      <x:c r="A12" t="str">
        <x:v>Edge Cases</x:v>
      </x:c>
      <x:c r="B12" t="n">
        <x:f>COUNTA('Edge Cases'!A2:A300)</x:f>
        <x:v>66</x:v>
      </x:c>
    </x:row>
    <x:row r="13">
      <x:c r="A13" t="str">
        <x:v>Total QA Criteria</x:v>
      </x:c>
      <x:c r="B13" t="n">
        <x:f>SUM(B7:B12)</x:f>
        <x:v>263</x:v>
      </x:c>
    </x:row>
    <x:row r="14">
      <x:c r="A14" t="str">
        <x:v>Known P0 Gaps / Fails</x:v>
      </x:c>
      <x:c r="B14" t="n">
        <x:f>COUNTIFS('Feedback 8 Items'!F2:F20,"P0",'Feedback 8 Items'!E2:E20,"Gap")+COUNTIFS('Feedback 8 Items'!F2:F20,"P0",'Feedback 8 Items'!E2:E20,"Fail")+COUNTIFS('Landing Page QA'!G2:G200,"P0",'Landing Page QA'!F2:F200,"Gap")+COUNTIFS('Landing Page QA'!G2:G200,"P0",'Landing Page QA'!F2:F200,"Fail")+COUNTIFS('Canvas UX QA'!G2:G200,"P0",'Canvas UX QA'!F2:F200,"Gap")+COUNTIFS('Canvas UX QA'!G2:G200,"P0",'Canvas UX QA'!F2:F200,"Fail")+COUNTIFS('Feature QA Details'!G2:G300,"P0",'Feature QA Details'!F2:F300,"Gap")+COUNTIFS('Feature QA Details'!G2:G300,"P0",'Feature QA Details'!F2:F300,"Fail")+COUNTIFS('Buka Undangan QA'!G2:G200,"P0",'Buka Undangan QA'!F2:F200,"Gap")+COUNTIFS('Buka Undangan QA'!G2:G200,"P0",'Buka Undangan QA'!F2:F200,"Fail")</x:f>
        <x:v>37</x:v>
      </x:c>
    </x:row>
    <x:row r="17">
      <x:c r="A17" s="28" t="str">
        <x:v>Critical Findings / Improvement Direction</x:v>
      </x:c>
      <x:c r="B17" s="28"/>
      <x:c r="C17" s="28"/>
      <x:c r="D17" s="28"/>
      <x:c r="E17" s="28"/>
      <x:c r="F17" s="28"/>
      <x:c r="G17" s="28"/>
      <x:c r="H17" s="28"/>
    </x:row>
    <x:row r="18">
      <x:c r="A18" s="6" t="str">
        <x:v>Priority</x:v>
      </x:c>
      <x:c r="B18" s="6" t="str">
        <x:v>Area</x:v>
      </x:c>
      <x:c r="C18" s="6" t="str">
        <x:v>Finding</x:v>
      </x:c>
      <x:c r="D18" s="6" t="str">
        <x:v>Required Improvement</x:v>
      </x:c>
      <x:c r="E18" s="6" t="str">
        <x:v>Traceability</x:v>
      </x:c>
    </x:row>
    <x:row r="19">
      <x:c r="A19" s="12" t="str">
        <x:v>P0</x:v>
      </x:c>
      <x:c r="B19" s="12" t="str">
        <x:v>Landing / Canva-like</x:v>
      </x:c>
      <x:c r="C19" s="12" t="str">
        <x:v>Creation-first landing</x:v>
      </x:c>
      <x:c r="D19" s="12" t="str">
        <x:v>Hero visual should demonstrate actual wedding design output, template variety, editor effects and creation journey—not primarily internal order workflow.</x:v>
      </x:c>
      <x:c r="E19" s="12" t="str">
        <x:v>FB-02 / LP-001–003</x:v>
      </x:c>
    </x:row>
    <x:row r="20">
      <x:c r="A20" s="12" t="str">
        <x:v>P0</x:v>
      </x:c>
      <x:c r="B20" s="12" t="str">
        <x:v>Template Preview</x:v>
      </x:c>
      <x:c r="C20" s="12" t="str">
        <x:v>Actual saved design preview</x:v>
      </x:c>
      <x:c r="D20" s="12" t="str">
        <x:v>Website design card currently uses generic preset/preview asset. It must render or snapshot the actual saved design instance after customization.</x:v>
      </x:c>
      <x:c r="E20" s="12" t="str">
        <x:v>FB-06 / CV-035</x:v>
      </x:c>
    </x:row>
    <x:row r="21">
      <x:c r="A21" s="12" t="str">
        <x:v>P0</x:v>
      </x:c>
      <x:c r="B21" s="12" t="str">
        <x:v>Gradient Renderer</x:v>
      </x:c>
      <x:c r="C21" s="12" t="str">
        <x:v>Greetings + special features</x:v>
      </x:c>
      <x:c r="D21" s="12" t="str">
        <x:v>Gradient must have a defined rendering surface per feature. Greetings currently visually masks it; Buka Undangan and public Sound have separate rendering paths.</x:v>
      </x:c>
      <x:c r="E21" s="12" t="str">
        <x:v>FB-04 / FL-07,FL-10,FL-13</x:v>
      </x:c>
    </x:row>
    <x:row r="22">
      <x:c r="A22" s="12" t="str">
        <x:v>P0</x:v>
      </x:c>
      <x:c r="B22" s="12" t="str">
        <x:v>Feature Alignment</x:v>
      </x:c>
      <x:c r="C22" s="12" t="str">
        <x:v>Object alignment</x:v>
      </x:c>
      <x:c r="D22" s="12" t="str">
        <x:v>Separate text/content alignment from feature/card positioning. Add left/center/right plus vertical alignment where applicable.</x:v>
      </x:c>
      <x:c r="E22" s="12" t="str">
        <x:v>FB-07 / CV-006–008</x:v>
      </x:c>
    </x:row>
    <x:row r="23">
      <x:c r="A23" s="12" t="str">
        <x:v>P0</x:v>
      </x:c>
      <x:c r="B23" s="12" t="str">
        <x:v>Buka Undangan</x:v>
      </x:c>
      <x:c r="C23" s="12" t="str">
        <x:v>Deep customization</x:v>
      </x:c>
      <x:c r="D23" s="12" t="str">
        <x:v>Editable icon, button radius/border/background/padding, whole-content alignment and selectable opening transition are required.</x:v>
      </x:c>
      <x:c r="E23" s="12" t="str">
        <x:v>FB-08 / BU-002–018</x:v>
      </x:c>
    </x:row>
    <x:row r="24">
      <x:c r="A24" s="12" t="str">
        <x:v>P1</x:v>
      </x:c>
      <x:c r="B24" s="12" t="str">
        <x:v>Canvas usability</x:v>
      </x:c>
      <x:c r="C24" s="12" t="str">
        <x:v>Canva/Figma interaction primitives</x:v>
      </x:c>
      <x:c r="D24" s="12" t="str">
        <x:v>Add guides/snap, duplicate, group/ungroup, lock and scalable Feature Library discovery.</x:v>
      </x:c>
      <x:c r="E24" s="12" t="str">
        <x:v>CV-010–015 / CV-034</x:v>
      </x:c>
    </x:row>
    <x:row r="25">
      <x:c r="A25" s="12" t="str">
        <x:v>P1</x:v>
      </x:c>
      <x:c r="B25" s="12" t="str">
        <x:v>Motion accessibility</x:v>
      </x:c>
      <x:c r="C25" s="12" t="str">
        <x:v>Reduce motion</x:v>
      </x:c>
      <x:c r="D25" s="12" t="str">
        <x:v>Animation/effects should respect reduced-motion preferences in landing/editor/public invitation.</x:v>
      </x:c>
      <x:c r="E25" s="12" t="str">
        <x:v>LP-016 / CV-028 / BU-018</x:v>
      </x:c>
    </x:row>
    <x:row r="26">
      <x:c r="A26" s="12" t="str">
        <x:v>P1</x:v>
      </x:c>
      <x:c r="B26" s="12" t="str">
        <x:v>Preview parity</x:v>
      </x:c>
      <x:c r="C26" s="12" t="str">
        <x:v>WYSIWYG contract</x:v>
      </x:c>
      <x:c r="D26" s="12" t="str">
        <x:v>All style properties must match Editor → Preview → Published; special renderers need regression coverage.</x:v>
      </x:c>
      <x:c r="E26" s="12" t="str">
        <x:v>CV-023 / FT series</x:v>
      </x:c>
    </x:row>
  </x:sheetData>
  <x:mergeCells>
    <x:mergeCell ref="A1:H2"/>
    <x:mergeCell ref="A4:H4"/>
    <x:mergeCell ref="A17:H17"/>
  </x:mergeCells>
  <x:conditionalFormatting sqref="G7:G10">
    <x:cfRule type="dataBar" priority="1">
      <x:dataBar>
        <x:cfvo type="min"/>
        <x:cfvo type="max"/>
        <x:color rgb="FFB54747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9b7c4d15af940a0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B54747"/>
            </x14:dataBar>
          </x14:cfRule>
          <xm:sqref>G7:G10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7" hidden="0" customWidth="1"/>
    <x:col min="3" max="3" width="34" hidden="0" customWidth="1"/>
    <x:col min="4" max="4" width="72" hidden="0" customWidth="1"/>
    <x:col min="5" max="5" width="65" hidden="0" customWidth="1"/>
  </x:cols>
  <x:sheetData>
    <x:row r="1" ht="28" customHeight="1">
      <x:c r="A1" s="6" t="str">
        <x:v>Source ID</x:v>
      </x:c>
      <x:c r="B1" s="6" t="str">
        <x:v>Product</x:v>
      </x:c>
      <x:c r="C1" s="6" t="str">
        <x:v>Official Reference</x:v>
      </x:c>
      <x:c r="D1" s="6" t="str">
        <x:v>QA expectation extracted</x:v>
      </x:c>
      <x:c r="E1" s="6" t="str">
        <x:v>URL</x:v>
      </x:c>
    </x:row>
    <x:row r="2">
      <x:c r="A2" s="12" t="str">
        <x:v>SRC-01</x:v>
      </x:c>
      <x:c r="B2" s="12" t="str">
        <x:v>Canva</x:v>
      </x:c>
      <x:c r="C2" s="12" t="str">
        <x:v>Homepage / Visual Suite</x:v>
      </x:c>
      <x:c r="D2" s="12" t="str">
        <x:v>Outcome-first homepage with immediate creation entry point, strong visual examples, template/product discovery, and progressive content sections.</x:v>
      </x:c>
      <x:c r="E2" s="12" t="str">
        <x:v>https://www.canva.com/</x:v>
      </x:c>
    </x:row>
    <x:row r="3">
      <x:c r="A3" s="12" t="str">
        <x:v>SRC-02</x:v>
      </x:c>
      <x:c r="B3" s="12" t="str">
        <x:v>Canva Help</x:v>
      </x:c>
      <x:c r="C3" s="12" t="str">
        <x:v>Group, layer, and align elements</x:v>
      </x:c>
      <x:c r="D3" s="12" t="str">
        <x:v>Elements can be positioned/aligned as objects, not only text content.</x:v>
      </x:c>
      <x:c r="E3" s="12" t="str">
        <x:v>https://www.canva.com/help/layer-group-align/</x:v>
      </x:c>
    </x:row>
    <x:row r="4">
      <x:c r="A4" s="12" t="str">
        <x:v>SRC-03</x:v>
      </x:c>
      <x:c r="B4" s="12" t="str">
        <x:v>Canva Help</x:v>
      </x:c>
      <x:c r="C4" s="12" t="str">
        <x:v>Create and use color gradients</x:v>
      </x:c>
      <x:c r="D4" s="12" t="str">
        <x:v>Gradient is a first-class visual property and should visibly render on supported elements/backgrounds.</x:v>
      </x:c>
      <x:c r="E4" s="12" t="str">
        <x:v>https://www.canva.com/help/creating-using-gradients/</x:v>
      </x:c>
    </x:row>
    <x:row r="5">
      <x:c r="A5" s="12" t="str">
        <x:v>SRC-04</x:v>
      </x:c>
      <x:c r="B5" s="12" t="str">
        <x:v>Canva Help</x:v>
      </x:c>
      <x:c r="C5" s="12" t="str">
        <x:v>Apply/change/remove animations</x:v>
      </x:c>
      <x:c r="D5" s="12" t="str">
        <x:v>Animation is selected on a page or element through a dedicated, understandable control.</x:v>
      </x:c>
      <x:c r="E5" s="12" t="str">
        <x:v>https://www.canva.com/help/animate-designs/</x:v>
      </x:c>
    </x:row>
    <x:row r="6">
      <x:c r="A6" s="12" t="str">
        <x:v>SRC-05</x:v>
      </x:c>
      <x:c r="B6" s="12" t="str">
        <x:v>Canva Help</x:v>
      </x:c>
      <x:c r="C6" s="12" t="str">
        <x:v>Add a background</x:v>
      </x:c>
      <x:c r="D6" s="12" t="str">
        <x:v>Background can use solid colors, gradients, images, and videos.</x:v>
      </x:c>
      <x:c r="E6" s="12" t="str">
        <x:v>https://www.canva.com/help/add-background/</x:v>
      </x:c>
    </x:row>
    <x:row r="7">
      <x:c r="A7" s="12" t="str">
        <x:v>SRC-06</x:v>
      </x:c>
      <x:c r="B7" s="12" t="str">
        <x:v>Canva Help</x:v>
      </x:c>
      <x:c r="C7" s="12" t="str">
        <x:v>Design websites</x:v>
      </x:c>
      <x:c r="D7" s="12" t="str">
        <x:v>Website editor supports adding sections and applying animation to page/text/elements.</x:v>
      </x:c>
      <x:c r="E7" s="12" t="str">
        <x:v>https://www.canva.com/help/designing-websites/</x:v>
      </x:c>
    </x:row>
    <x:row r="8">
      <x:c r="A8" s="12" t="str">
        <x:v>SRC-07</x:v>
      </x:c>
      <x:c r="B8" s="12" t="str">
        <x:v>Canva Help</x:v>
      </x:c>
      <x:c r="C8" s="12" t="str">
        <x:v>Reduce motion settings</x:v>
      </x:c>
      <x:c r="D8" s="12" t="str">
        <x:v>Animation-heavy experiences should offer reduced-motion behavior for inclusive viewing.</x:v>
      </x:c>
      <x:c r="E8" s="12" t="str">
        <x:v>https://www.canva.com/help/reduce-motion-settings/</x:v>
      </x:c>
    </x:row>
    <x:row r="9">
      <x:c r="A9" s="12" t="str">
        <x:v>SRC-08</x:v>
      </x:c>
      <x:c r="B9" s="12" t="str">
        <x:v>Canva Help</x:v>
      </x:c>
      <x:c r="C9" s="12" t="str">
        <x:v>Keyboard shortcuts</x:v>
      </x:c>
      <x:c r="D9" s="12" t="str">
        <x:v>Canva exposes common formatting/alignment shortcuts, reducing repetitive pointer interaction.</x:v>
      </x:c>
      <x:c r="E9" s="12" t="str">
        <x:v>https://www.canva.com/help/canva-keyboard-shortcuts/</x:v>
      </x:c>
    </x:row>
    <x:row r="10">
      <x:c r="A10" s="12" t="str">
        <x:v>SRC-09</x:v>
      </x:c>
      <x:c r="B10" s="12" t="str">
        <x:v>Figma Help</x:v>
      </x:c>
      <x:c r="C10" s="12" t="str">
        <x:v>Guide to auto layout</x:v>
      </x:c>
      <x:c r="D10" s="12" t="str">
        <x:v>Layout properties include direction, spacing, padding and alignment and adapt automatically to content changes.</x:v>
      </x:c>
      <x:c r="E10" s="12" t="str">
        <x:v>https://help.figma.com/hc/en-us/articles/360040451373-Guide-to-auto-layout</x:v>
      </x:c>
    </x:row>
    <x:row r="11">
      <x:c r="A11" s="12" t="str">
        <x:v>SRC-10</x:v>
      </x:c>
      <x:c r="B11" s="12" t="str">
        <x:v>Figma Help</x:v>
      </x:c>
      <x:c r="C11" s="12" t="str">
        <x:v>Alignment, rotation, position, dimensions</x:v>
      </x:c>
      <x:c r="D11" s="12" t="str">
        <x:v>Alignment/position controls apply to layers/objects on the canvas.</x:v>
      </x:c>
      <x:c r="E11" s="12" t="str">
        <x:v>https://help.figma.com/hc/en-us/articles/360039956914-Adjust-alignment-rotation-position-and-dimensions</x:v>
      </x:c>
    </x:row>
    <x:row r="12">
      <x:c r="A12" s="12" t="str">
        <x:v>SRC-11</x:v>
      </x:c>
      <x:c r="B12" s="12" t="str">
        <x:v>Figma Help</x:v>
      </x:c>
      <x:c r="C12" s="12" t="str">
        <x:v>Horizontal/vertical auto layout flows</x:v>
      </x:c>
      <x:c r="D12" s="12" t="str">
        <x:v>Object alignment uses clear alignment positions including left/center/right and top/center/bottom.</x:v>
      </x:c>
      <x:c r="E12" s="12" t="str">
        <x:v>https://help.figma.com/hc/en-us/articles/31289464393751-Use-the-horizontal-and-vertical-flows-in-auto-layout</x:v>
      </x:c>
    </x:row>
    <x:row r="13">
      <x:c r="A13" s="12" t="str">
        <x:v>SRC-12</x:v>
      </x:c>
      <x:c r="B13" s="12" t="str">
        <x:v>Figma Sites</x:v>
      </x:c>
      <x:c r="C13" s="12" t="str">
        <x:v>Design, prototype and publish websites</x:v>
      </x:c>
      <x:c r="D13" s="12" t="str">
        <x:v>Responsive layouts, pre-built blocks, easy interactions, and dedicated CMS support a design-to-publish workflow.</x:v>
      </x:c>
      <x:c r="E13" s="12" t="str">
        <x:v>https://www.figma.com/sites/</x:v>
      </x:c>
    </x:row>
    <x:row r="14">
      <x:c r="A14" s="12" t="str">
        <x:v>SRC-13</x:v>
      </x:c>
      <x:c r="B14" s="12" t="str">
        <x:v>Figma</x:v>
      </x:c>
      <x:c r="C14" s="12" t="str">
        <x:v>Web design</x:v>
      </x:c>
      <x:c r="D14" s="12" t="str">
        <x:v>Responsive design, components, styles and interactive prototypes are core parts of the web design workflow.</x:v>
      </x:c>
      <x:c r="E14" s="12" t="str">
        <x:v>https://www.figma.com/web-design/</x:v>
      </x:c>
    </x:row>
    <x:row r="15">
      <x:c r="A15" s="12" t="str">
        <x:v>SRC-14</x:v>
      </x:c>
      <x:c r="B15" s="12" t="str">
        <x:v>Figma Help</x:v>
      </x:c>
      <x:c r="C15" s="12" t="str">
        <x:v>Position elements in a webpage</x:v>
      </x:c>
      <x:c r="D15" s="12" t="str">
        <x:v>Relative positioning and auto layout are used so content reflows correctly across screen sizes.</x:v>
      </x:c>
      <x:c r="E15" s="12" t="str">
        <x:v>https://help.figma.com/hc/en-us/articles/31242774629655-Position-elements-in-a-webpage</x:v>
      </x:c>
    </x:row>
    <x:row r="16">
      <x:c r="A16" s="12" t="str">
        <x:v>SRC-15</x:v>
      </x:c>
      <x:c r="B16" s="12" t="str">
        <x:v>Figma Help</x:v>
      </x:c>
      <x:c r="C16" s="12" t="str">
        <x:v>Edit objects in bulk</x:v>
      </x:c>
      <x:c r="D16" s="12" t="str">
        <x:v>Object-level bulk alignment is available from the canvas/property panel.</x:v>
      </x:c>
      <x:c r="E16" s="12" t="str">
        <x:v>https://help.figma.com/hc/en-us/articles/21635177948567-Edit-objects-on-the-canvas-in-bulk</x:v>
      </x:c>
    </x:row>
  </x:sheetData>
  <x:pageMargins left="0.7" right="0.7" top="0.75" bottom="0.75" header="0.3" footer="0.3"/>
  <x:tableParts count="1">
    <x:tablePart xmlns:r="http://schemas.openxmlformats.org/officeDocument/2006/relationships" r:id="Rd73a206a44ab4f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50" hidden="0" customWidth="1"/>
    <x:col min="4" max="4" width="62" hidden="0" customWidth="1"/>
    <x:col min="5" max="5" width="14" hidden="0" customWidth="1"/>
    <x:col min="6" max="6" width="10" hidden="0" customWidth="1"/>
    <x:col min="7" max="7" width="65" hidden="0" customWidth="1"/>
    <x:col min="8" max="8" width="25" hidden="0" customWidth="1"/>
    <x:col min="9" max="9" width="18" hidden="0" customWidth="1"/>
    <x:col min="10" max="10" width="16" hidden="0" customWidth="1"/>
    <x:col min="11" max="11" width="14" hidden="0" customWidth="1"/>
    <x:col min="12" max="12" width="32" hidden="0" customWidth="1"/>
  </x:cols>
  <x:sheetData>
    <x:row r="1" ht="28" customHeight="1">
      <x:c r="A1" s="6" t="str">
        <x:v>Feedback ID</x:v>
      </x:c>
      <x:c r="B1" s="6" t="str">
        <x:v>Area</x:v>
      </x:c>
      <x:c r="C1" s="6" t="str">
        <x:v>User feedback / requirement</x:v>
      </x:c>
      <x:c r="D1" s="6" t="str">
        <x:v>Evidence v0.14 / QA result</x:v>
      </x:c>
      <x:c r="E1" s="6" t="str">
        <x:v>Status</x:v>
      </x:c>
      <x:c r="F1" s="6" t="str">
        <x:v>Priority</x:v>
      </x:c>
      <x:c r="G1" s="6" t="str">
        <x:v>Expected improvement</x:v>
      </x:c>
      <x:c r="H1" s="6" t="str">
        <x:v>Research Source IDs</x:v>
      </x:c>
      <x:c r="I1" s="6" t="str">
        <x:v>Owner</x:v>
      </x:c>
      <x:c r="J1" s="6" t="str">
        <x:v>Target Version</x:v>
      </x:c>
      <x:c r="K1" s="6" t="str">
        <x:v>Retest Result</x:v>
      </x:c>
      <x:c r="L1" s="6" t="str">
        <x:v>Notes</x:v>
      </x:c>
    </x:row>
    <x:row r="2">
      <x:c r="A2" s="12" t="str">
        <x:v>FB-01</x:v>
      </x:c>
      <x:c r="B2" s="12" t="str">
        <x:v>Research benchmark</x:v>
      </x:c>
      <x:c r="C2" s="12" t="str">
        <x:v>QA harus benchmark UX Figma + Canva</x:v>
      </x:c>
      <x:c r="D2" s="12" t="str">
        <x:v>Requirement baru dari Product Owner: QA expectation harus diturunkan dari interaction/design patterns resmi Canva/Figma, bukan hanya functional checklist.</x:v>
      </x:c>
      <x:c r="E2" s="12" t="str">
        <x:v>Gap</x:v>
      </x:c>
      <x:c r="F2" s="12" t="str">
        <x:v>P0</x:v>
      </x:c>
      <x:c r="G2" s="12" t="str">
        <x:v>Gunakan benchmark sheets + task-based usability test; benchmark pattern, bukan menyalin visual identik.</x:v>
      </x:c>
      <x:c r="H2" s="12" t="str">
        <x:v>SRC-01,SRC-02,SRC-03,SRC-04,SRC-09,SRC-10,SRC-12</x:v>
      </x:c>
      <x:c r="I2" s="12" t="str"/>
      <x:c r="J2" s="12" t="str"/>
      <x:c r="K2" s="12" t="str">
        <x:v>Not Tested</x:v>
      </x:c>
      <x:c r="L2" s="12" t="str"/>
    </x:row>
    <x:row r="3">
      <x:c r="A3" s="12" t="str">
        <x:v>FB-02</x:v>
      </x:c>
      <x:c r="B3" s="12" t="str">
        <x:v>Landing Page</x:v>
      </x:c>
      <x:c r="C3" s="12" t="str">
        <x:v>UX landing diharapkan seperti Canva dari efek, section dan content</x:v>
      </x:c>
      <x:c r="D3" s="12" t="str">
        <x:v>Source scan v0.14: Hero + Product + Templates + Roles + Articles + CTA sudah ada, tetapi hero visual lebih menonjolkan order workflow dibanding creative output/editor interaction.</x:v>
      </x:c>
      <x:c r="E3" s="12" t="str">
        <x:v>Gap</x:v>
      </x:c>
      <x:c r="F3" s="12" t="str">
        <x:v>P0</x:v>
      </x:c>
      <x:c r="G3" s="12" t="str">
        <x:v>Creation-first hero; actual template/editor showcase; richer inspiration/category rail; micro-interaction; customer trust; reduced-motion fallback.</x:v>
      </x:c>
      <x:c r="H3" s="12" t="str">
        <x:v>SRC-01,SRC-07</x:v>
      </x:c>
      <x:c r="I3" s="12" t="str"/>
      <x:c r="J3" s="12" t="str"/>
      <x:c r="K3" s="12" t="str">
        <x:v>Not Tested</x:v>
      </x:c>
      <x:c r="L3" s="12" t="str"/>
    </x:row>
    <x:row r="4">
      <x:c r="A4" s="12" t="str">
        <x:v>FB-03</x:v>
      </x:c>
      <x:c r="B4" s="12" t="str">
        <x:v>Canvas Editor</x:v>
      </x:c>
      <x:c r="C4" s="12" t="str">
        <x:v>Canvas diharapkan semudah Canva untuk non-technical user</x:v>
      </x:c>
      <x:c r="D4" s="12" t="str">
        <x:v>Source scan: left Page Structure + center Canvas + right Inspector cukup familiar, tetapi object-level position/alignment, grouping/lock/guides masih minim.</x:v>
      </x:c>
      <x:c r="E4" s="12" t="str">
        <x:v>Partial</x:v>
      </x:c>
      <x:c r="F4" s="12" t="str">
        <x:v>P0</x:v>
      </x:c>
      <x:c r="G4" s="12" t="str">
        <x:v>Tambah direct manipulation, object alignment/position, snap/guides, duplicate/lock/group, contextual toolbar dan shortcut yang familiar.</x:v>
      </x:c>
      <x:c r="H4" s="12" t="str">
        <x:v>SRC-02,SRC-08,SRC-09,SRC-10,SRC-15</x:v>
      </x:c>
      <x:c r="I4" s="12" t="str"/>
      <x:c r="J4" s="12" t="str"/>
      <x:c r="K4" s="12" t="str">
        <x:v>Not Tested</x:v>
      </x:c>
      <x:c r="L4" s="12" t="str"/>
    </x:row>
    <x:row r="5">
      <x:c r="A5" s="12" t="str">
        <x:v>FB-04</x:v>
      </x:c>
      <x:c r="B5" s="12" t="str">
        <x:v>Gradient</x:v>
      </x:c>
      <x:c r="C5" s="12" t="str">
        <x:v>Gradient Feature Library tidak tampil, khususnya Greetings</x:v>
      </x:c>
      <x:c r="D5" s="12" t="str">
        <x:v>User observed FAIL. Source scan: gradient diterapkan di wrapper FeatureBlock; GreetingsWidget menggunakan inner form/list cards dengan rgba(255,255,255,.78) sehingga gradient tertutup secara visual.</x:v>
      </x:c>
      <x:c r="E5" s="12" t="str">
        <x:v>Fail</x:v>
      </x:c>
      <x:c r="F5" s="12" t="str">
        <x:v>P0</x:v>
      </x:c>
      <x:c r="G5" s="12" t="str">
        <x:v>Jadikan gradient sebagai surface nyata feature/card; inner surface Greetings harus transparent/theme-aware atau memiliki Card Surface setting. Regression semua feature.</x:v>
      </x:c>
      <x:c r="H5" s="12" t="str">
        <x:v>SRC-03,SRC-05</x:v>
      </x:c>
      <x:c r="I5" s="12" t="str"/>
      <x:c r="J5" s="12" t="str"/>
      <x:c r="K5" s="12" t="str">
        <x:v>Not Tested</x:v>
      </x:c>
      <x:c r="L5" s="12" t="str"/>
    </x:row>
    <x:row r="6">
      <x:c r="A6" s="12" t="str">
        <x:v>FB-05</x:v>
      </x:c>
      <x:c r="B6" s="12" t="str">
        <x:v>Edge Cases</x:v>
      </x:c>
      <x:c r="C6" s="12" t="str">
        <x:v>QA harus menyertakan edge cases</x:v>
      </x:c>
      <x:c r="D6" s="12" t="str">
        <x:v>Workbook QA sebelumnya belum menjadikan boundary/negative/resilience cases sebagai acceptance suite utama.</x:v>
      </x:c>
      <x:c r="E6" s="12" t="str">
        <x:v>Gap</x:v>
      </x:c>
      <x:c r="F6" s="12" t="str">
        <x:v>P0</x:v>
      </x:c>
      <x:c r="G6" s="12" t="str">
        <x:v>Tambahkan empty/large/invalid data, upload/network failure, mobile/reduced-motion, long content, boundary gradient/animation, undo/autosave dan accessibility.</x:v>
      </x:c>
      <x:c r="H6" s="12" t="str">
        <x:v>SRC-07,SRC-09,SRC-14</x:v>
      </x:c>
      <x:c r="I6" s="12" t="str"/>
      <x:c r="J6" s="12" t="str"/>
      <x:c r="K6" s="12" t="str">
        <x:v>Not Tested</x:v>
      </x:c>
      <x:c r="L6" s="12" t="str"/>
    </x:row>
    <x:row r="7">
      <x:c r="A7" s="12" t="str">
        <x:v>FB-06</x:v>
      </x:c>
      <x:c r="B7" s="12" t="str">
        <x:v>Website Template Preview</x:v>
      </x:c>
      <x:c r="C7" s="12" t="str">
        <x:v>Preview 'Template pada website' belum representatif</x:v>
      </x:c>
      <x:c r="D7" s="12" t="str">
        <x:v>User observed FAIL. Source scan: WebsiteTemplatePreview menggunakan template.preview/preset + site title + section count, bukan render actual saved design/canvas setelah user mengedit.</x:v>
      </x:c>
      <x:c r="E7" s="12" t="str">
        <x:v>Fail</x:v>
      </x:c>
      <x:c r="F7" s="12" t="str">
        <x:v>P0</x:v>
      </x:c>
      <x:c r="G7" s="12" t="str">
        <x:v>Generate thumbnail/snapshot dari actual design instance / mini-render saved sections; preview card wajib berubah setelah design disimpan.</x:v>
      </x:c>
      <x:c r="H7" s="12" t="str">
        <x:v>SRC-12,SRC-13</x:v>
      </x:c>
      <x:c r="I7" s="12" t="str"/>
      <x:c r="J7" s="12" t="str"/>
      <x:c r="K7" s="12" t="str">
        <x:v>Not Tested</x:v>
      </x:c>
      <x:c r="L7" s="12" t="str"/>
    </x:row>
    <x:row r="8">
      <x:c r="A8" s="12" t="str">
        <x:v>FB-07</x:v>
      </x:c>
      <x:c r="B8" s="12" t="str">
        <x:v>Feature Alignment</x:v>
      </x:c>
      <x:c r="C8" s="12" t="str">
        <x:v>Seluruh Feature Library harus dapat align kiri/tengah/kanan, bukan text saja</x:v>
      </x:c>
      <x:c r="D8" s="12" t="str">
        <x:v>Source scan: alignment UI hanya untuk textTypes dan properti align terutama menghasilkan CSS textAlign; Image/Video/Gallery tidak punya object alignment.</x:v>
      </x:c>
      <x:c r="E8" s="12" t="str">
        <x:v>Fail</x:v>
      </x:c>
      <x:c r="F8" s="12" t="str">
        <x:v>P0</x:v>
      </x:c>
      <x:c r="G8" s="12" t="str">
        <x:v>Pisahkan Content Alignment dan Feature/Object Alignment. Tambahkan Left/Center/Right, vertical align, width/fit untuk semua applicable feature.</x:v>
      </x:c>
      <x:c r="H8" s="12" t="str">
        <x:v>SRC-02,SRC-10,SRC-11,SRC-15</x:v>
      </x:c>
      <x:c r="I8" s="12" t="str"/>
      <x:c r="J8" s="12" t="str"/>
      <x:c r="K8" s="12" t="str">
        <x:v>Not Tested</x:v>
      </x:c>
      <x:c r="L8" s="12" t="str"/>
    </x:row>
    <x:row r="9">
      <x:c r="A9" s="12" t="str">
        <x:v>FB-08</x:v>
      </x:c>
      <x:c r="B9" s="12" t="str">
        <x:v>Buka Undangan</x:v>
      </x:c>
      <x:c r="C9" s="12" t="str">
        <x:v>Buka Undangan harus jauh lebih editable dan kaya animation</x:v>
      </x:c>
      <x:c r="D9" s="12" t="str">
        <x:v>Source scan: icon MailOpen hard-coded; button radius hard-coded CSS; generic BoxStyle mengubah wrapper; public opening selalu coverExit fade/scale selama 720ms.</x:v>
      </x:c>
      <x:c r="E9" s="12" t="str">
        <x:v>Fail</x:v>
      </x:c>
      <x:c r="F9" s="12" t="str">
        <x:v>P0</x:v>
      </x:c>
      <x:c r="G9" s="12" t="str">
        <x:v>Icon picker/upload; icon size/position; button radius/border/background/padding; opening transition Slide Up/Down/Left/Right/Fade/Zoom/Curtain/Split/Dissolve + duration/easing + reduced motion.</x:v>
      </x:c>
      <x:c r="H9" s="12" t="str">
        <x:v>SRC-04,SRC-07</x:v>
      </x:c>
      <x:c r="I9" s="12" t="str"/>
      <x:c r="J9" s="12" t="str"/>
      <x:c r="K9" s="12" t="str">
        <x:v>Not Tested</x:v>
      </x:c>
      <x:c r="L9" s="12" t="str"/>
    </x:row>
  </x:sheetData>
  <x:conditionalFormatting sqref="E2:E9">
    <x:cfRule type="expression" dxfId="0" priority="1">
      <x:formula>E2="Meets"</x:formula>
    </x:cfRule>
    <x:cfRule type="expression" dxfId="1" priority="2">
      <x:formula>E2="Partial"</x:formula>
    </x:cfRule>
    <x:cfRule type="expression" dxfId="2" priority="3">
      <x:formula>E2="Gap"</x:formula>
    </x:cfRule>
    <x:cfRule type="expression" dxfId="3" priority="4">
      <x:formula>E2="Fail"</x:formula>
    </x:cfRule>
    <x:cfRule type="expression" dxfId="4" priority="5">
      <x:formula>E2="Needs User Test"</x:formula>
    </x:cfRule>
  </x:conditionalFormatting>
  <x:conditionalFormatting sqref="K2:K9">
    <x:cfRule type="expression" dxfId="5" priority="6">
      <x:formula>K2="Pass"</x:formula>
    </x:cfRule>
    <x:cfRule type="expression" dxfId="6" priority="7">
      <x:formula>K2="Fail"</x:formula>
    </x:cfRule>
    <x:cfRule type="expression" dxfId="7" priority="8">
      <x:formula>K2="Blocked"</x:formula>
    </x:cfRule>
  </x:conditionalFormatting>
  <x:dataValidations count="2">
    <x:dataValidation type="list" sqref="E2:E9">
      <x:formula1>"Meets,Partial,Gap,Fail,Needs User Test"</x:formula1>
    </x:dataValidation>
    <x:dataValidation type="list" sqref="K2:K9">
      <x:formula1>"Not Tested,Pass,Fail,Blocked"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588189f7ff4c4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6" hidden="0" customWidth="1"/>
    <x:col min="4" max="4" width="58" hidden="0" customWidth="1"/>
    <x:col min="5" max="5" width="58" hidden="0" customWidth="1"/>
    <x:col min="6" max="6" width="16" hidden="0" customWidth="1"/>
    <x:col min="7" max="7" width="10" hidden="0" customWidth="1"/>
    <x:col min="8" max="8" width="24" hidden="0" customWidth="1"/>
    <x:col min="9" max="9" width="38" hidden="0" customWidth="1"/>
    <x:col min="10" max="10" width="20" hidden="0" customWidth="1"/>
    <x:col min="11" max="11" width="14" hidden="0" customWidth="1"/>
    <x:col min="12" max="12" width="46" hidden="0" customWidth="1"/>
    <x:col min="13" max="13" width="14" hidden="0" customWidth="1"/>
    <x:col min="14" max="14" width="28" hidden="0" customWidth="1"/>
  </x:cols>
  <x:sheetData>
    <x:row r="1" ht="28" customHeight="1">
      <x:c r="A1" s="6" t="str">
        <x:v>QA ID</x:v>
      </x:c>
      <x:c r="B1" s="6" t="str">
        <x:v>Area</x:v>
      </x:c>
      <x:c r="C1" s="6" t="str">
        <x:v>Scenario</x:v>
      </x:c>
      <x:c r="D1" s="6" t="str">
        <x:v>Best-Practice Expectation</x:v>
      </x:c>
      <x:c r="E1" s="6" t="str">
        <x:v>Current v0.14</x:v>
      </x:c>
      <x:c r="F1" s="6" t="str">
        <x:v>Pre-Audit</x:v>
      </x:c>
      <x:c r="G1" s="6" t="str">
        <x:v>Priority</x:v>
      </x:c>
      <x:c r="H1" s="6" t="str">
        <x:v>Test Method</x:v>
      </x:c>
      <x:c r="I1" s="6" t="str">
        <x:v>Edge Case</x:v>
      </x:c>
      <x:c r="J1" s="6" t="str">
        <x:v>Source IDs</x:v>
      </x:c>
      <x:c r="K1" s="6" t="str">
        <x:v>Tester Result</x:v>
      </x:c>
      <x:c r="L1" s="6" t="str">
        <x:v>Actual Observation</x:v>
      </x:c>
      <x:c r="M1" s="6" t="str">
        <x:v>Defect ID</x:v>
      </x:c>
      <x:c r="N1" s="6" t="str">
        <x:v>Notes</x:v>
      </x:c>
    </x:row>
    <x:row r="2">
      <x:c r="A2" s="12" t="str">
        <x:v>LP-001</x:v>
      </x:c>
      <x:c r="B2" s="12" t="str">
        <x:v>Hero</x:v>
      </x:c>
      <x:c r="C2" s="12" t="str">
        <x:v>Understand product in &lt;10 seconds</x:v>
      </x:c>
      <x:c r="D2" s="12" t="str">
        <x:v>One clear outcome, wedding-specific value proposition, one obvious primary action and visual proof of output.</x:v>
      </x:c>
      <x:c r="E2" s="12" t="str">
        <x:v>Hero is clear but visual proof emphasizes order/task workflow more than creation outcome.</x:v>
      </x:c>
      <x:c r="F2" s="12" t="str">
        <x:v>Partial</x:v>
      </x:c>
      <x:c r="G2" s="12" t="str">
        <x:v>P0</x:v>
      </x:c>
      <x:c r="H2" s="12" t="str">
        <x:v>Heuristic + responsive test</x:v>
      </x:c>
      <x:c r="I2" s="12" t="str"/>
      <x:c r="J2" s="12" t="str">
        <x:v>SRC-01</x:v>
      </x:c>
      <x:c r="K2" s="12" t="str">
        <x:v>Not Tested</x:v>
      </x:c>
      <x:c r="L2" s="12" t="str"/>
      <x:c r="M2" s="12" t="str"/>
      <x:c r="N2" s="12" t="str"/>
    </x:row>
    <x:row r="3">
      <x:c r="A3" s="12" t="str">
        <x:v>LP-002</x:v>
      </x:c>
      <x:c r="B3" s="12" t="str">
        <x:v>Hero</x:v>
      </x:c>
      <x:c r="C3" s="12" t="str">
        <x:v>Primary CTA</x:v>
      </x:c>
      <x:c r="D3" s="12" t="str">
        <x:v>Primary CTA should start the most valuable journey (browse/create/order) without competing equally with internal CMS exploration.</x:v>
      </x:c>
      <x:c r="E3" s="12" t="str">
        <x:v>Hero has Explore templates + Explore CMS; CMS CTA can distract public Viewer.</x:v>
      </x:c>
      <x:c r="F3" s="12" t="str">
        <x:v>Gap</x:v>
      </x:c>
      <x:c r="G3" s="12" t="str">
        <x:v>P0</x:v>
      </x:c>
      <x:c r="H3" s="12" t="str">
        <x:v>Heuristic + responsive test</x:v>
      </x:c>
      <x:c r="I3" s="12" t="str">
        <x:v>Viewer not logged in; mobile header collapsed</x:v>
      </x:c>
      <x:c r="J3" s="12" t="str">
        <x:v>SRC-01</x:v>
      </x:c>
      <x:c r="K3" s="12" t="str">
        <x:v>Not Tested</x:v>
      </x:c>
      <x:c r="L3" s="12" t="str"/>
      <x:c r="M3" s="12" t="str"/>
      <x:c r="N3" s="12" t="str"/>
    </x:row>
    <x:row r="4">
      <x:c r="A4" s="12" t="str">
        <x:v>LP-003</x:v>
      </x:c>
      <x:c r="B4" s="12" t="str">
        <x:v>Hero</x:v>
      </x:c>
      <x:c r="C4" s="12" t="str">
        <x:v>Visual storytelling</x:v>
      </x:c>
      <x:c r="D4" s="12" t="str">
        <x:v>Hero should show actual template/output/editor transformations and motion, similar to creative-product landing pages.</x:v>
      </x:c>
      <x:c r="E4" s="12" t="str">
        <x:v>Current mock mainly shows order → payment → assignment workflow.</x:v>
      </x:c>
      <x:c r="F4" s="12" t="str">
        <x:v>Gap</x:v>
      </x:c>
      <x:c r="G4" s="12" t="str">
        <x:v>P0</x:v>
      </x:c>
      <x:c r="H4" s="12" t="str">
        <x:v>Heuristic + responsive test</x:v>
      </x:c>
      <x:c r="I4" s="12" t="str"/>
      <x:c r="J4" s="12" t="str">
        <x:v>SRC-01</x:v>
      </x:c>
      <x:c r="K4" s="12" t="str">
        <x:v>Not Tested</x:v>
      </x:c>
      <x:c r="L4" s="12" t="str"/>
      <x:c r="M4" s="12" t="str"/>
      <x:c r="N4" s="12" t="str"/>
    </x:row>
    <x:row r="5">
      <x:c r="A5" s="12" t="str">
        <x:v>LP-004</x:v>
      </x:c>
      <x:c r="B5" s="12" t="str">
        <x:v>Hero</x:v>
      </x:c>
      <x:c r="C5" s="12" t="str">
        <x:v>Motion</x:v>
      </x:c>
      <x:c r="D5" s="12" t="str">
        <x:v>Micro-animation should make product feel alive without harming readability.</x:v>
      </x:c>
      <x:c r="E5" s="12" t="str">
        <x:v>Existing CSS effects are present but not benchmarked for meaningful landing storytelling.</x:v>
      </x:c>
      <x:c r="F5" s="12" t="str">
        <x:v>Needs User Test</x:v>
      </x:c>
      <x:c r="G5" s="12" t="str">
        <x:v>P1</x:v>
      </x:c>
      <x:c r="H5" s="12" t="str">
        <x:v>Heuristic + responsive test</x:v>
      </x:c>
      <x:c r="I5" s="12" t="str">
        <x:v>prefers-reduced-motion</x:v>
      </x:c>
      <x:c r="J5" s="12" t="str">
        <x:v>SRC-07</x:v>
      </x:c>
      <x:c r="K5" s="12" t="str">
        <x:v>Not Tested</x:v>
      </x:c>
      <x:c r="L5" s="12" t="str"/>
      <x:c r="M5" s="12" t="str"/>
      <x:c r="N5" s="12" t="str"/>
    </x:row>
    <x:row r="6">
      <x:c r="A6" s="12" t="str">
        <x:v>LP-005</x:v>
      </x:c>
      <x:c r="B6" s="12" t="str">
        <x:v>Navigation</x:v>
      </x:c>
      <x:c r="C6" s="12" t="str">
        <x:v>Discover sections</x:v>
      </x:c>
      <x:c r="D6" s="12" t="str">
        <x:v>Navigation should use familiar language and jump predictably to relevant content.</x:v>
      </x:c>
      <x:c r="E6" s="12" t="str">
        <x:v>Product/Templates/For Teams/Articles is understandable.</x:v>
      </x:c>
      <x:c r="F6" s="12" t="str">
        <x:v>Meets</x:v>
      </x:c>
      <x:c r="G6" s="12" t="str">
        <x:v>P1</x:v>
      </x:c>
      <x:c r="H6" s="12" t="str">
        <x:v>Heuristic + responsive test</x:v>
      </x:c>
      <x:c r="I6" s="12" t="str"/>
      <x:c r="J6" s="12" t="str">
        <x:v>SRC-01</x:v>
      </x:c>
      <x:c r="K6" s="12" t="str">
        <x:v>Not Tested</x:v>
      </x:c>
      <x:c r="L6" s="12" t="str"/>
      <x:c r="M6" s="12" t="str"/>
      <x:c r="N6" s="12" t="str"/>
    </x:row>
    <x:row r="7">
      <x:c r="A7" s="12" t="str">
        <x:v>LP-006</x:v>
      </x:c>
      <x:c r="B7" s="12" t="str">
        <x:v>Navigation</x:v>
      </x:c>
      <x:c r="C7" s="12" t="str">
        <x:v>Mobile nav</x:v>
      </x:c>
      <x:c r="D7" s="12" t="str">
        <x:v>Navigation/CTA must remain usable at 375–390 px.</x:v>
      </x:c>
      <x:c r="E7" s="12" t="str">
        <x:v>Requires real device check.</x:v>
      </x:c>
      <x:c r="F7" s="12" t="str">
        <x:v>Needs User Test</x:v>
      </x:c>
      <x:c r="G7" s="12" t="str">
        <x:v>P0</x:v>
      </x:c>
      <x:c r="H7" s="12" t="str">
        <x:v>Heuristic + responsive test</x:v>
      </x:c>
      <x:c r="I7" s="12" t="str">
        <x:v>long localized label; landscape mobile</x:v>
      </x:c>
      <x:c r="J7" s="12" t="str">
        <x:v>SRC-01</x:v>
      </x:c>
      <x:c r="K7" s="12" t="str">
        <x:v>Not Tested</x:v>
      </x:c>
      <x:c r="L7" s="12" t="str"/>
      <x:c r="M7" s="12" t="str"/>
      <x:c r="N7" s="12" t="str"/>
    </x:row>
    <x:row r="8">
      <x:c r="A8" s="12" t="str">
        <x:v>LP-007</x:v>
      </x:c>
      <x:c r="B8" s="12" t="str">
        <x:v>Templates</x:v>
      </x:c>
      <x:c r="C8" s="12" t="str">
        <x:v>Template discovery</x:v>
      </x:c>
      <x:c r="D8" s="12" t="str">
        <x:v>Template showcase should support fast inspiration, categories and clear View/Preview actions.</x:v>
      </x:c>
      <x:c r="E8" s="12" t="str">
        <x:v>Showcase displays up to 6 templates; catalog is not as discovery-rich as Canva-like browsing.</x:v>
      </x:c>
      <x:c r="F8" s="12" t="str">
        <x:v>Partial</x:v>
      </x:c>
      <x:c r="G8" s="12" t="str">
        <x:v>P1</x:v>
      </x:c>
      <x:c r="H8" s="12" t="str">
        <x:v>Heuristic + responsive test</x:v>
      </x:c>
      <x:c r="I8" s="12" t="str">
        <x:v>0 templates; &gt;50 templates; long title</x:v>
      </x:c>
      <x:c r="J8" s="12" t="str">
        <x:v>SRC-01</x:v>
      </x:c>
      <x:c r="K8" s="12" t="str">
        <x:v>Not Tested</x:v>
      </x:c>
      <x:c r="L8" s="12" t="str"/>
      <x:c r="M8" s="12" t="str"/>
      <x:c r="N8" s="12" t="str"/>
    </x:row>
    <x:row r="9">
      <x:c r="A9" s="12" t="str">
        <x:v>LP-008</x:v>
      </x:c>
      <x:c r="B9" s="12" t="str">
        <x:v>Templates</x:v>
      </x:c>
      <x:c r="C9" s="12" t="str">
        <x:v>Actual preview</x:v>
      </x:c>
      <x:c r="D9" s="12" t="str">
        <x:v>Preview should represent actual template design, not stylized placeholder.</x:v>
      </x:c>
      <x:c r="E9" s="12" t="str">
        <x:v>Landing detail can render actual canvasSections when available; website design card still does not.</x:v>
      </x:c>
      <x:c r="F9" s="12" t="str">
        <x:v>Partial</x:v>
      </x:c>
      <x:c r="G9" s="12" t="str">
        <x:v>P0</x:v>
      </x:c>
      <x:c r="H9" s="12" t="str">
        <x:v>Heuristic + responsive test</x:v>
      </x:c>
      <x:c r="I9" s="12" t="str"/>
      <x:c r="J9" s="12" t="str">
        <x:v>SRC-12,SRC-13</x:v>
      </x:c>
      <x:c r="K9" s="12" t="str">
        <x:v>Not Tested</x:v>
      </x:c>
      <x:c r="L9" s="12" t="str"/>
      <x:c r="M9" s="12" t="str"/>
      <x:c r="N9" s="12" t="str"/>
    </x:row>
    <x:row r="10">
      <x:c r="A10" s="12" t="str">
        <x:v>LP-009</x:v>
      </x:c>
      <x:c r="B10" s="12" t="str">
        <x:v>Templates</x:v>
      </x:c>
      <x:c r="C10" s="12" t="str">
        <x:v>Price clarity</x:v>
      </x:c>
      <x:c r="D10" s="12" t="str">
        <x:v>Price visible before checkout and consistent in detail/order summary.</x:v>
      </x:c>
      <x:c r="E10" s="12" t="str">
        <x:v>Price shown in showcase/detail.</x:v>
      </x:c>
      <x:c r="F10" s="12" t="str">
        <x:v>Meets</x:v>
      </x:c>
      <x:c r="G10" s="12" t="str">
        <x:v>P0</x:v>
      </x:c>
      <x:c r="H10" s="12" t="str">
        <x:v>Heuristic + responsive test</x:v>
      </x:c>
      <x:c r="I10" s="12" t="str"/>
      <x:c r="J10" s="12" t="str">
        <x:v>SRC-01</x:v>
      </x:c>
      <x:c r="K10" s="12" t="str">
        <x:v>Not Tested</x:v>
      </x:c>
      <x:c r="L10" s="12" t="str"/>
      <x:c r="M10" s="12" t="str"/>
      <x:c r="N10" s="12" t="str"/>
    </x:row>
    <x:row r="11">
      <x:c r="A11" s="12" t="str">
        <x:v>LP-010</x:v>
      </x:c>
      <x:c r="B11" s="12" t="str">
        <x:v>Templates</x:v>
      </x:c>
      <x:c r="C11" s="12" t="str">
        <x:v>Category / filter</x:v>
      </x:c>
      <x:c r="D11" s="12" t="str">
        <x:v>Users should browse by style/category with low cognitive load.</x:v>
      </x:c>
      <x:c r="E11" s="12" t="str">
        <x:v>Landing showcase has no category filter; CMS library has filters.</x:v>
      </x:c>
      <x:c r="F11" s="12" t="str">
        <x:v>Gap</x:v>
      </x:c>
      <x:c r="G11" s="12" t="str">
        <x:v>P1</x:v>
      </x:c>
      <x:c r="H11" s="12" t="str">
        <x:v>Heuristic + responsive test</x:v>
      </x:c>
      <x:c r="I11" s="12" t="str">
        <x:v>category with no templates</x:v>
      </x:c>
      <x:c r="J11" s="12" t="str">
        <x:v>SRC-01</x:v>
      </x:c>
      <x:c r="K11" s="12" t="str">
        <x:v>Not Tested</x:v>
      </x:c>
      <x:c r="L11" s="12" t="str"/>
      <x:c r="M11" s="12" t="str"/>
      <x:c r="N11" s="12" t="str"/>
    </x:row>
    <x:row r="12">
      <x:c r="A12" s="12" t="str">
        <x:v>LP-011</x:v>
      </x:c>
      <x:c r="B12" s="12" t="str">
        <x:v>Inspiration</x:v>
      </x:c>
      <x:c r="C12" s="12" t="str">
        <x:v>Content discovery</x:v>
      </x:c>
      <x:c r="D12" s="12" t="str">
        <x:v>Landing should mix templates, examples, inspiration and educational content to keep exploration engaging.</x:v>
      </x:c>
      <x:c r="E12" s="12" t="str">
        <x:v>Articles section exists but feels separate from design inspiration.</x:v>
      </x:c>
      <x:c r="F12" s="12" t="str">
        <x:v>Partial</x:v>
      </x:c>
      <x:c r="G12" s="12" t="str">
        <x:v>P1</x:v>
      </x:c>
      <x:c r="H12" s="12" t="str">
        <x:v>Heuristic + responsive test</x:v>
      </x:c>
      <x:c r="I12" s="12" t="str"/>
      <x:c r="J12" s="12" t="str">
        <x:v>SRC-01</x:v>
      </x:c>
      <x:c r="K12" s="12" t="str">
        <x:v>Not Tested</x:v>
      </x:c>
      <x:c r="L12" s="12" t="str"/>
      <x:c r="M12" s="12" t="str"/>
      <x:c r="N12" s="12" t="str"/>
    </x:row>
    <x:row r="13">
      <x:c r="A13" s="12" t="str">
        <x:v>LP-012</x:v>
      </x:c>
      <x:c r="B13" s="12" t="str">
        <x:v>Sections</x:v>
      </x:c>
      <x:c r="C13" s="12" t="str">
        <x:v>Progressive disclosure</x:v>
      </x:c>
      <x:c r="D13" s="12" t="str">
        <x:v>Each section should answer a customer question: what, examples, how, trust, price/process, inspiration, CTA.</x:v>
      </x:c>
      <x:c r="E13" s="12" t="str">
        <x:v>Current sections cover product/roles/templates/articles/CTA but over-explain operational internals in places.</x:v>
      </x:c>
      <x:c r="F13" s="12" t="str">
        <x:v>Partial</x:v>
      </x:c>
      <x:c r="G13" s="12" t="str">
        <x:v>P1</x:v>
      </x:c>
      <x:c r="H13" s="12" t="str">
        <x:v>Heuristic + responsive test</x:v>
      </x:c>
      <x:c r="I13" s="12" t="str"/>
      <x:c r="J13" s="12" t="str">
        <x:v>SRC-01</x:v>
      </x:c>
      <x:c r="K13" s="12" t="str">
        <x:v>Not Tested</x:v>
      </x:c>
      <x:c r="L13" s="12" t="str"/>
      <x:c r="M13" s="12" t="str"/>
      <x:c r="N13" s="12" t="str"/>
    </x:row>
    <x:row r="14">
      <x:c r="A14" s="12" t="str">
        <x:v>LP-013</x:v>
      </x:c>
      <x:c r="B14" s="12" t="str">
        <x:v>Trust</x:v>
      </x:c>
      <x:c r="C14" s="12" t="str">
        <x:v>Trust signals</x:v>
      </x:c>
      <x:c r="D14" s="12" t="str">
        <x:v>Use customer-relevant trust signals, examples/testimonials/security language; avoid implementation jargon.</x:v>
      </x:c>
      <x:c r="E14" s="12" t="str">
        <x:v>Some operational claims exist; no strong social proof/case-study block.</x:v>
      </x:c>
      <x:c r="F14" s="12" t="str">
        <x:v>Gap</x:v>
      </x:c>
      <x:c r="G14" s="12" t="str">
        <x:v>P1</x:v>
      </x:c>
      <x:c r="H14" s="12" t="str">
        <x:v>Heuristic + responsive test</x:v>
      </x:c>
      <x:c r="I14" s="12" t="str"/>
      <x:c r="J14" s="12" t="str">
        <x:v>SRC-01</x:v>
      </x:c>
      <x:c r="K14" s="12" t="str">
        <x:v>Not Tested</x:v>
      </x:c>
      <x:c r="L14" s="12" t="str"/>
      <x:c r="M14" s="12" t="str"/>
      <x:c r="N14" s="12" t="str"/>
    </x:row>
    <x:row r="15">
      <x:c r="A15" s="12" t="str">
        <x:v>LP-014</x:v>
      </x:c>
      <x:c r="B15" s="12" t="str">
        <x:v>Content</x:v>
      </x:c>
      <x:c r="C15" s="12" t="str">
        <x:v>Copy tone</x:v>
      </x:c>
      <x:c r="D15" s="12" t="str">
        <x:v>Public content should speak wedding/customer language, not backend/process language.</x:v>
      </x:c>
      <x:c r="E15" s="12" t="str">
        <x:v>Several phrases still describe role-based workflow, task auto-created, receipt traceability.</x:v>
      </x:c>
      <x:c r="F15" s="12" t="str">
        <x:v>Partial</x:v>
      </x:c>
      <x:c r="G15" s="12" t="str">
        <x:v>P0</x:v>
      </x:c>
      <x:c r="H15" s="12" t="str">
        <x:v>Heuristic + responsive test</x:v>
      </x:c>
      <x:c r="I15" s="12" t="str"/>
      <x:c r="J15" s="12" t="str">
        <x:v>SRC-01</x:v>
      </x:c>
      <x:c r="K15" s="12" t="str">
        <x:v>Not Tested</x:v>
      </x:c>
      <x:c r="L15" s="12" t="str"/>
      <x:c r="M15" s="12" t="str"/>
      <x:c r="N15" s="12" t="str"/>
    </x:row>
    <x:row r="16">
      <x:c r="A16" s="12" t="str">
        <x:v>LP-015</x:v>
      </x:c>
      <x:c r="B16" s="12" t="str">
        <x:v>Effects</x:v>
      </x:c>
      <x:c r="C16" s="12" t="str">
        <x:v>Interactive section</x:v>
      </x:c>
      <x:c r="D16" s="12" t="str">
        <x:v>Hover, subtle reveal and interactive examples should communicate what the product can do.</x:v>
      </x:c>
      <x:c r="E16" s="12" t="str">
        <x:v>Current cards/mocks have visual styling; no interactive feature demo rail.</x:v>
      </x:c>
      <x:c r="F16" s="12" t="str">
        <x:v>Gap</x:v>
      </x:c>
      <x:c r="G16" s="12" t="str">
        <x:v>P1</x:v>
      </x:c>
      <x:c r="H16" s="12" t="str">
        <x:v>Heuristic + responsive test</x:v>
      </x:c>
      <x:c r="I16" s="12" t="str"/>
      <x:c r="J16" s="12" t="str">
        <x:v>SRC-01,SRC-04</x:v>
      </x:c>
      <x:c r="K16" s="12" t="str">
        <x:v>Not Tested</x:v>
      </x:c>
      <x:c r="L16" s="12" t="str"/>
      <x:c r="M16" s="12" t="str"/>
      <x:c r="N16" s="12" t="str"/>
    </x:row>
    <x:row r="17">
      <x:c r="A17" s="12" t="str">
        <x:v>LP-016</x:v>
      </x:c>
      <x:c r="B17" s="12" t="str">
        <x:v>Accessibility</x:v>
      </x:c>
      <x:c r="C17" s="12" t="str">
        <x:v>Reduced motion</x:v>
      </x:c>
      <x:c r="D17" s="12" t="str">
        <x:v>Landing effects must respect reduced-motion preference.</x:v>
      </x:c>
      <x:c r="E17" s="12" t="str">
        <x:v>No explicit global landing reduced-motion acceptance observed.</x:v>
      </x:c>
      <x:c r="F17" s="12" t="str">
        <x:v>Gap</x:v>
      </x:c>
      <x:c r="G17" s="12" t="str">
        <x:v>P1</x:v>
      </x:c>
      <x:c r="H17" s="12" t="str">
        <x:v>Heuristic + responsive test</x:v>
      </x:c>
      <x:c r="I17" s="12" t="str">
        <x:v>OS reduce motion on</x:v>
      </x:c>
      <x:c r="J17" s="12" t="str">
        <x:v>SRC-07</x:v>
      </x:c>
      <x:c r="K17" s="12" t="str">
        <x:v>Not Tested</x:v>
      </x:c>
      <x:c r="L17" s="12" t="str"/>
      <x:c r="M17" s="12" t="str"/>
      <x:c r="N17" s="12" t="str"/>
    </x:row>
    <x:row r="18">
      <x:c r="A18" s="12" t="str">
        <x:v>LP-017</x:v>
      </x:c>
      <x:c r="B18" s="12" t="str">
        <x:v>Accessibility</x:v>
      </x:c>
      <x:c r="C18" s="12" t="str">
        <x:v>Keyboard</x:v>
      </x:c>
      <x:c r="D18" s="12" t="str">
        <x:v>All navigation, template cards, article cards and chat usable by keyboard.</x:v>
      </x:c>
      <x:c r="E18" s="12" t="str">
        <x:v>Requires manual test.</x:v>
      </x:c>
      <x:c r="F18" s="12" t="str">
        <x:v>Needs User Test</x:v>
      </x:c>
      <x:c r="G18" s="12" t="str">
        <x:v>P0</x:v>
      </x:c>
      <x:c r="H18" s="12" t="str">
        <x:v>Heuristic + responsive test</x:v>
      </x:c>
      <x:c r="I18" s="12" t="str">
        <x:v>Tab order; visible focus</x:v>
      </x:c>
      <x:c r="J18" s="12" t="str">
        <x:v>SRC-01</x:v>
      </x:c>
      <x:c r="K18" s="12" t="str">
        <x:v>Not Tested</x:v>
      </x:c>
      <x:c r="L18" s="12" t="str"/>
      <x:c r="M18" s="12" t="str"/>
      <x:c r="N18" s="12" t="str"/>
    </x:row>
    <x:row r="19">
      <x:c r="A19" s="12" t="str">
        <x:v>LP-018</x:v>
      </x:c>
      <x:c r="B19" s="12" t="str">
        <x:v>Performance</x:v>
      </x:c>
      <x:c r="C19" s="12" t="str">
        <x:v>Media loading</x:v>
      </x:c>
      <x:c r="D19" s="12" t="str">
        <x:v>Hero/template imagery should load quickly and not block text/CTA.</x:v>
      </x:c>
      <x:c r="E19" s="12" t="str">
        <x:v>Requires staging performance test.</x:v>
      </x:c>
      <x:c r="F19" s="12" t="str">
        <x:v>Needs User Test</x:v>
      </x:c>
      <x:c r="G19" s="12" t="str">
        <x:v>P1</x:v>
      </x:c>
      <x:c r="H19" s="12" t="str">
        <x:v>Heuristic + responsive test</x:v>
      </x:c>
      <x:c r="I19" s="12" t="str">
        <x:v>slow 3G; missing image</x:v>
      </x:c>
      <x:c r="J19" s="12" t="str">
        <x:v>SRC-01</x:v>
      </x:c>
      <x:c r="K19" s="12" t="str">
        <x:v>Not Tested</x:v>
      </x:c>
      <x:c r="L19" s="12" t="str"/>
      <x:c r="M19" s="12" t="str"/>
      <x:c r="N19" s="12" t="str"/>
    </x:row>
    <x:row r="20">
      <x:c r="A20" s="12" t="str">
        <x:v>LP-019</x:v>
      </x:c>
      <x:c r="B20" s="12" t="str">
        <x:v>Responsive</x:v>
      </x:c>
      <x:c r="C20" s="12" t="str">
        <x:v>Section reflow</x:v>
      </x:c>
      <x:c r="D20" s="12" t="str">
        <x:v>Cards/hero/article grids should reflow without horizontal scroll.</x:v>
      </x:c>
      <x:c r="E20" s="12" t="str">
        <x:v>Requires device/browser matrix.</x:v>
      </x:c>
      <x:c r="F20" s="12" t="str">
        <x:v>Needs User Test</x:v>
      </x:c>
      <x:c r="G20" s="12" t="str">
        <x:v>P0</x:v>
      </x:c>
      <x:c r="H20" s="12" t="str">
        <x:v>Heuristic + responsive test</x:v>
      </x:c>
      <x:c r="I20" s="12" t="str">
        <x:v>320px; 375px; tablet; 1440px</x:v>
      </x:c>
      <x:c r="J20" s="12" t="str">
        <x:v>SRC-01</x:v>
      </x:c>
      <x:c r="K20" s="12" t="str">
        <x:v>Not Tested</x:v>
      </x:c>
      <x:c r="L20" s="12" t="str"/>
      <x:c r="M20" s="12" t="str"/>
      <x:c r="N20" s="12" t="str"/>
    </x:row>
    <x:row r="21">
      <x:c r="A21" s="12" t="str">
        <x:v>LP-020</x:v>
      </x:c>
      <x:c r="B21" s="12" t="str">
        <x:v>CTA</x:v>
      </x:c>
      <x:c r="C21" s="12" t="str">
        <x:v>Final CTA</x:v>
      </x:c>
      <x:c r="D21" s="12" t="str">
        <x:v>Final CTA should reinforce same primary journey as hero.</x:v>
      </x:c>
      <x:c r="E21" s="12" t="str">
        <x:v>Choose a template aligns with template journey.</x:v>
      </x:c>
      <x:c r="F21" s="12" t="str">
        <x:v>Meets</x:v>
      </x:c>
      <x:c r="G21" s="12" t="str">
        <x:v>P1</x:v>
      </x:c>
      <x:c r="H21" s="12" t="str">
        <x:v>Heuristic + responsive test</x:v>
      </x:c>
      <x:c r="I21" s="12" t="str"/>
      <x:c r="J21" s="12" t="str">
        <x:v>SRC-01</x:v>
      </x:c>
      <x:c r="K21" s="12" t="str">
        <x:v>Not Tested</x:v>
      </x:c>
      <x:c r="L21" s="12" t="str"/>
      <x:c r="M21" s="12" t="str"/>
      <x:c r="N21" s="12" t="str"/>
    </x:row>
    <x:row r="22">
      <x:c r="A22" s="12" t="str">
        <x:v>LP-021</x:v>
      </x:c>
      <x:c r="B22" s="12" t="str">
        <x:v>Empty State</x:v>
      </x:c>
      <x:c r="C22" s="12" t="str">
        <x:v>No published template</x:v>
      </x:c>
      <x:c r="D22" s="12" t="str">
        <x:v>Landing should not look broken if template catalog is empty.</x:v>
      </x:c>
      <x:c r="E22" s="12" t="str">
        <x:v>Needs explicit empty-state check.</x:v>
      </x:c>
      <x:c r="F22" s="12" t="str">
        <x:v>Needs User Test</x:v>
      </x:c>
      <x:c r="G22" s="12" t="str">
        <x:v>P1</x:v>
      </x:c>
      <x:c r="H22" s="12" t="str">
        <x:v>Heuristic + responsive test</x:v>
      </x:c>
      <x:c r="I22" s="12" t="str">
        <x:v>templates=[]</x:v>
      </x:c>
      <x:c r="J22" s="12" t="str">
        <x:v>SRC-01</x:v>
      </x:c>
      <x:c r="K22" s="12" t="str">
        <x:v>Not Tested</x:v>
      </x:c>
      <x:c r="L22" s="12" t="str"/>
      <x:c r="M22" s="12" t="str"/>
      <x:c r="N22" s="12" t="str"/>
    </x:row>
    <x:row r="23">
      <x:c r="A23" s="12" t="str">
        <x:v>LP-022</x:v>
      </x:c>
      <x:c r="B23" s="12" t="str">
        <x:v>Empty State</x:v>
      </x:c>
      <x:c r="C23" s="12" t="str">
        <x:v>No articles</x:v>
      </x:c>
      <x:c r="D23" s="12" t="str">
        <x:v>Published article empty-state should be helpful and not expose CMS jargon to Viewer.</x:v>
      </x:c>
      <x:c r="E23" s="12" t="str">
        <x:v>Current empty state says Article published from CMS will appear, which is internal wording.</x:v>
      </x:c>
      <x:c r="F23" s="12" t="str">
        <x:v>Gap</x:v>
      </x:c>
      <x:c r="G23" s="12" t="str">
        <x:v>P1</x:v>
      </x:c>
      <x:c r="H23" s="12" t="str">
        <x:v>Heuristic + responsive test</x:v>
      </x:c>
      <x:c r="I23" s="12" t="str">
        <x:v>articles=[]</x:v>
      </x:c>
      <x:c r="J23" s="12" t="str">
        <x:v>SRC-01</x:v>
      </x:c>
      <x:c r="K23" s="12" t="str">
        <x:v>Not Tested</x:v>
      </x:c>
      <x:c r="L23" s="12" t="str"/>
      <x:c r="M23" s="12" t="str"/>
      <x:c r="N23" s="12" t="str"/>
    </x:row>
    <x:row r="24">
      <x:c r="A24" s="12" t="str">
        <x:v>LP-023</x:v>
      </x:c>
      <x:c r="B24" s="12" t="str">
        <x:v>Localization</x:v>
      </x:c>
      <x:c r="C24" s="12" t="str">
        <x:v>Mixed language</x:v>
      </x:c>
      <x:c r="D24" s="12" t="str">
        <x:v>Public landing should use one intentional language system.</x:v>
      </x:c>
      <x:c r="E24" s="12" t="str">
        <x:v>Current content mixes English headings/buttons with Indonesian paragraphs.</x:v>
      </x:c>
      <x:c r="F24" s="12" t="str">
        <x:v>Partial</x:v>
      </x:c>
      <x:c r="G24" s="12" t="str">
        <x:v>P1</x:v>
      </x:c>
      <x:c r="H24" s="12" t="str">
        <x:v>Heuristic + responsive test</x:v>
      </x:c>
      <x:c r="I24" s="12" t="str"/>
      <x:c r="J24" s="12" t="str">
        <x:v>SRC-01</x:v>
      </x:c>
      <x:c r="K24" s="12" t="str">
        <x:v>Not Tested</x:v>
      </x:c>
      <x:c r="L24" s="12" t="str"/>
      <x:c r="M24" s="12" t="str"/>
      <x:c r="N24" s="12" t="str"/>
    </x:row>
    <x:row r="25">
      <x:c r="A25" s="12" t="str">
        <x:v>LP-024</x:v>
      </x:c>
      <x:c r="B25" s="12" t="str">
        <x:v>Template detail</x:v>
      </x:c>
      <x:c r="C25" s="12" t="str">
        <x:v>Back navigation</x:v>
      </x:c>
      <x:c r="D25" s="12" t="str">
        <x:v>Back should return to previous scroll/context.</x:v>
      </x:c>
      <x:c r="E25" s="12" t="str">
        <x:v>Current route returns landing; scroll restoration not evident.</x:v>
      </x:c>
      <x:c r="F25" s="12" t="str">
        <x:v>Gap</x:v>
      </x:c>
      <x:c r="G25" s="12" t="str">
        <x:v>P1</x:v>
      </x:c>
      <x:c r="H25" s="12" t="str">
        <x:v>Heuristic + responsive test</x:v>
      </x:c>
      <x:c r="I25" s="12" t="str">
        <x:v>opened from deep scroll</x:v>
      </x:c>
      <x:c r="J25" s="12" t="str">
        <x:v>SRC-01</x:v>
      </x:c>
      <x:c r="K25" s="12" t="str">
        <x:v>Not Tested</x:v>
      </x:c>
      <x:c r="L25" s="12" t="str"/>
      <x:c r="M25" s="12" t="str"/>
      <x:c r="N25" s="12" t="str"/>
    </x:row>
    <x:row r="26">
      <x:c r="A26" s="12" t="str">
        <x:v>LP-025</x:v>
      </x:c>
      <x:c r="B26" s="12" t="str">
        <x:v>Chat</x:v>
      </x:c>
      <x:c r="C26" s="12" t="str">
        <x:v>Widget overlap</x:v>
      </x:c>
      <x:c r="D26" s="12" t="str">
        <x:v>Live Chat should not cover CTA/card controls on mobile.</x:v>
      </x:c>
      <x:c r="E26" s="12" t="str">
        <x:v>Requires device test.</x:v>
      </x:c>
      <x:c r="F26" s="12" t="str">
        <x:v>Needs User Test</x:v>
      </x:c>
      <x:c r="G26" s="12" t="str">
        <x:v>P1</x:v>
      </x:c>
      <x:c r="H26" s="12" t="str">
        <x:v>Heuristic + responsive test</x:v>
      </x:c>
      <x:c r="I26" s="12" t="str">
        <x:v>small screen + keyboard open</x:v>
      </x:c>
      <x:c r="J26" s="12" t="str">
        <x:v>SRC-01</x:v>
      </x:c>
      <x:c r="K26" s="12" t="str">
        <x:v>Not Tested</x:v>
      </x:c>
      <x:c r="L26" s="12" t="str"/>
      <x:c r="M26" s="12" t="str"/>
      <x:c r="N26" s="12" t="str"/>
    </x:row>
  </x:sheetData>
  <x:conditionalFormatting sqref="F2:F26">
    <x:cfRule type="expression" dxfId="8" priority="1">
      <x:formula>F2="Meets"</x:formula>
    </x:cfRule>
    <x:cfRule type="expression" dxfId="9" priority="2">
      <x:formula>F2="Partial"</x:formula>
    </x:cfRule>
    <x:cfRule type="expression" dxfId="10" priority="3">
      <x:formula>F2="Gap"</x:formula>
    </x:cfRule>
    <x:cfRule type="expression" dxfId="11" priority="4">
      <x:formula>F2="Fail"</x:formula>
    </x:cfRule>
    <x:cfRule type="expression" dxfId="12" priority="5">
      <x:formula>F2="Needs User Test"</x:formula>
    </x:cfRule>
  </x:conditionalFormatting>
  <x:conditionalFormatting sqref="K2:K26">
    <x:cfRule type="expression" dxfId="13" priority="6">
      <x:formula>K2="Pass"</x:formula>
    </x:cfRule>
    <x:cfRule type="expression" dxfId="14" priority="7">
      <x:formula>K2="Fail"</x:formula>
    </x:cfRule>
    <x:cfRule type="expression" dxfId="15" priority="8">
      <x:formula>K2="Blocked"</x:formula>
    </x:cfRule>
  </x:conditionalFormatting>
  <x:dataValidations count="2">
    <x:dataValidation type="list" sqref="F2:F26">
      <x:formula1>"Meets,Partial,Gap,Fail,Needs User Test"</x:formula1>
    </x:dataValidation>
    <x:dataValidation type="list" sqref="K2:K26">
      <x:formula1>"Not Tested,Pass,Fail,Blocked"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d786d7f14849b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8" hidden="0" customWidth="1"/>
    <x:col min="4" max="4" width="58" hidden="0" customWidth="1"/>
    <x:col min="5" max="5" width="58" hidden="0" customWidth="1"/>
    <x:col min="6" max="6" width="16" hidden="0" customWidth="1"/>
    <x:col min="7" max="7" width="10" hidden="0" customWidth="1"/>
    <x:col min="8" max="8" width="24" hidden="0" customWidth="1"/>
    <x:col min="9" max="9" width="38" hidden="0" customWidth="1"/>
    <x:col min="10" max="10" width="20" hidden="0" customWidth="1"/>
    <x:col min="11" max="11" width="14" hidden="0" customWidth="1"/>
    <x:col min="12" max="12" width="46" hidden="0" customWidth="1"/>
    <x:col min="13" max="13" width="14" hidden="0" customWidth="1"/>
    <x:col min="14" max="14" width="28" hidden="0" customWidth="1"/>
  </x:cols>
  <x:sheetData>
    <x:row r="1" ht="28" customHeight="1">
      <x:c r="A1" s="6" t="str">
        <x:v>QA ID</x:v>
      </x:c>
      <x:c r="B1" s="6" t="str">
        <x:v>Area</x:v>
      </x:c>
      <x:c r="C1" s="6" t="str">
        <x:v>Scenario</x:v>
      </x:c>
      <x:c r="D1" s="6" t="str">
        <x:v>Best-Practice Expectation</x:v>
      </x:c>
      <x:c r="E1" s="6" t="str">
        <x:v>Current v0.14</x:v>
      </x:c>
      <x:c r="F1" s="6" t="str">
        <x:v>Pre-Audit</x:v>
      </x:c>
      <x:c r="G1" s="6" t="str">
        <x:v>Priority</x:v>
      </x:c>
      <x:c r="H1" s="6" t="str">
        <x:v>Test Method</x:v>
      </x:c>
      <x:c r="I1" s="6" t="str">
        <x:v>Edge Case</x:v>
      </x:c>
      <x:c r="J1" s="6" t="str">
        <x:v>Source IDs</x:v>
      </x:c>
      <x:c r="K1" s="6" t="str">
        <x:v>Tester Result</x:v>
      </x:c>
      <x:c r="L1" s="6" t="str">
        <x:v>Actual Observation</x:v>
      </x:c>
      <x:c r="M1" s="6" t="str">
        <x:v>Defect ID</x:v>
      </x:c>
      <x:c r="N1" s="6" t="str">
        <x:v>Notes</x:v>
      </x:c>
    </x:row>
    <x:row r="2">
      <x:c r="A2" s="12" t="str">
        <x:v>CV-001</x:v>
      </x:c>
      <x:c r="B2" s="12" t="str">
        <x:v>Mental Model</x:v>
      </x:c>
      <x:c r="C2" s="12" t="str">
        <x:v>Understand editor without training</x:v>
      </x:c>
      <x:c r="D2" s="12" t="str">
        <x:v>Controls use plain-language object/design concepts; internal implementation hierarchy should be understandable but not dominant.</x:v>
      </x:c>
      <x:c r="E2" s="12" t="str">
        <x:v>Canvas → Column → Feature is explicit and functional, but still more technical than Canva-like 'page/section/element' mental model.</x:v>
      </x:c>
      <x:c r="F2" s="12" t="str">
        <x:v>Partial</x:v>
      </x:c>
      <x:c r="G2" s="12" t="str">
        <x:v>P0</x:v>
      </x:c>
      <x:c r="H2" s="12" t="str">
        <x:v>Task + source audit</x:v>
      </x:c>
      <x:c r="I2" s="12" t="str"/>
      <x:c r="J2" s="12" t="str">
        <x:v>SRC-02,SRC-09,SRC-10</x:v>
      </x:c>
      <x:c r="K2" s="12" t="str">
        <x:v>Not Tested</x:v>
      </x:c>
      <x:c r="L2" s="12" t="str"/>
      <x:c r="M2" s="12" t="str"/>
      <x:c r="N2" s="12" t="str"/>
    </x:row>
    <x:row r="3">
      <x:c r="A3" s="12" t="str">
        <x:v>CV-002</x:v>
      </x:c>
      <x:c r="B3" s="12" t="str">
        <x:v>Selection</x:v>
      </x:c>
      <x:c r="C3" s="12" t="str">
        <x:v>Select object directly</x:v>
      </x:c>
      <x:c r="D3" s="12" t="str">
        <x:v>Clicking visible object should select it and reveal contextual controls.</x:v>
      </x:c>
      <x:c r="E3" s="12" t="str">
        <x:v>Feature click selects and opens inspector.</x:v>
      </x:c>
      <x:c r="F3" s="12" t="str">
        <x:v>Meets</x:v>
      </x:c>
      <x:c r="G3" s="12" t="str">
        <x:v>P0</x:v>
      </x:c>
      <x:c r="H3" s="12" t="str">
        <x:v>Task + source audit</x:v>
      </x:c>
      <x:c r="I3" s="12" t="str"/>
      <x:c r="J3" s="12" t="str">
        <x:v>SRC-02,SRC-09,SRC-10</x:v>
      </x:c>
      <x:c r="K3" s="12" t="str">
        <x:v>Not Tested</x:v>
      </x:c>
      <x:c r="L3" s="12" t="str"/>
      <x:c r="M3" s="12" t="str"/>
      <x:c r="N3" s="12" t="str"/>
    </x:row>
    <x:row r="4">
      <x:c r="A4" s="12" t="str">
        <x:v>CV-003</x:v>
      </x:c>
      <x:c r="B4" s="12" t="str">
        <x:v>Direct Editing</x:v>
      </x:c>
      <x:c r="C4" s="12" t="str">
        <x:v>Edit text inline</x:v>
      </x:c>
      <x:c r="D4" s="12" t="str">
        <x:v>Text can be edited directly on canvas with immediate feedback.</x:v>
      </x:c>
      <x:c r="E4" s="12" t="str">
        <x:v>Inline editing exists.</x:v>
      </x:c>
      <x:c r="F4" s="12" t="str">
        <x:v>Meets</x:v>
      </x:c>
      <x:c r="G4" s="12" t="str">
        <x:v>P0</x:v>
      </x:c>
      <x:c r="H4" s="12" t="str">
        <x:v>Task + source audit</x:v>
      </x:c>
      <x:c r="I4" s="12" t="str"/>
      <x:c r="J4" s="12" t="str">
        <x:v>SRC-02,SRC-09,SRC-10</x:v>
      </x:c>
      <x:c r="K4" s="12" t="str">
        <x:v>Not Tested</x:v>
      </x:c>
      <x:c r="L4" s="12" t="str"/>
      <x:c r="M4" s="12" t="str"/>
      <x:c r="N4" s="12" t="str"/>
    </x:row>
    <x:row r="5">
      <x:c r="A5" s="12" t="str">
        <x:v>CV-004</x:v>
      </x:c>
      <x:c r="B5" s="12" t="str">
        <x:v>Drag &amp; Drop</x:v>
      </x:c>
      <x:c r="C5" s="12" t="str">
        <x:v>Add feature</x:v>
      </x:c>
      <x:c r="D5" s="12" t="str">
        <x:v>User can click or drag feature to target column and sees clear drop target.</x:v>
      </x:c>
      <x:c r="E5" s="12" t="str">
        <x:v>Click/drag exists; empty column shows Drag feature here.</x:v>
      </x:c>
      <x:c r="F5" s="12" t="str">
        <x:v>Meets</x:v>
      </x:c>
      <x:c r="G5" s="12" t="str">
        <x:v>P0</x:v>
      </x:c>
      <x:c r="H5" s="12" t="str">
        <x:v>Task + source audit</x:v>
      </x:c>
      <x:c r="I5" s="12" t="str"/>
      <x:c r="J5" s="12" t="str">
        <x:v>SRC-02,SRC-09,SRC-10</x:v>
      </x:c>
      <x:c r="K5" s="12" t="str">
        <x:v>Not Tested</x:v>
      </x:c>
      <x:c r="L5" s="12" t="str"/>
      <x:c r="M5" s="12" t="str"/>
      <x:c r="N5" s="12" t="str"/>
    </x:row>
    <x:row r="6">
      <x:c r="A6" s="12" t="str">
        <x:v>CV-005</x:v>
      </x:c>
      <x:c r="B6" s="12" t="str">
        <x:v>Drag &amp; Drop</x:v>
      </x:c>
      <x:c r="C6" s="12" t="str">
        <x:v>Accessible alternative</x:v>
      </x:c>
      <x:c r="D6" s="12" t="str">
        <x:v>Drag action should have non-drag alternative.</x:v>
      </x:c>
      <x:c r="E6" s="12" t="str">
        <x:v>Click-to-add and Canvas move buttons exist.</x:v>
      </x:c>
      <x:c r="F6" s="12" t="str">
        <x:v>Meets</x:v>
      </x:c>
      <x:c r="G6" s="12" t="str">
        <x:v>P0</x:v>
      </x:c>
      <x:c r="H6" s="12" t="str">
        <x:v>Task + source audit</x:v>
      </x:c>
      <x:c r="I6" s="12" t="str"/>
      <x:c r="J6" s="12" t="str">
        <x:v>SRC-02</x:v>
      </x:c>
      <x:c r="K6" s="12" t="str">
        <x:v>Not Tested</x:v>
      </x:c>
      <x:c r="L6" s="12" t="str"/>
      <x:c r="M6" s="12" t="str"/>
      <x:c r="N6" s="12" t="str"/>
    </x:row>
    <x:row r="7">
      <x:c r="A7" s="12" t="str">
        <x:v>CV-006</x:v>
      </x:c>
      <x:c r="B7" s="12" t="str">
        <x:v>Object Alignment</x:v>
      </x:c>
      <x:c r="C7" s="12" t="str">
        <x:v>Align whole feature left/center/right</x:v>
      </x:c>
      <x:c r="D7" s="12" t="str">
        <x:v>Alignment should position the selected feature/object, not merely its text.</x:v>
      </x:c>
      <x:c r="E7" s="12" t="str">
        <x:v>Current align property is mostly textAlign; no general object alignment model.</x:v>
      </x:c>
      <x:c r="F7" s="12" t="str">
        <x:v>Gap</x:v>
      </x:c>
      <x:c r="G7" s="12" t="str">
        <x:v>P0</x:v>
      </x:c>
      <x:c r="H7" s="12" t="str">
        <x:v>Task + source audit</x:v>
      </x:c>
      <x:c r="I7" s="12" t="str"/>
      <x:c r="J7" s="12" t="str">
        <x:v>SRC-02,SRC-10,SRC-11</x:v>
      </x:c>
      <x:c r="K7" s="12" t="str">
        <x:v>Not Tested</x:v>
      </x:c>
      <x:c r="L7" s="12" t="str"/>
      <x:c r="M7" s="12" t="str"/>
      <x:c r="N7" s="12" t="str"/>
    </x:row>
    <x:row r="8">
      <x:c r="A8" s="12" t="str">
        <x:v>CV-007</x:v>
      </x:c>
      <x:c r="B8" s="12" t="str">
        <x:v>Object Alignment</x:v>
      </x:c>
      <x:c r="C8" s="12" t="str">
        <x:v>Vertical alignment</x:v>
      </x:c>
      <x:c r="D8" s="12" t="str">
        <x:v>Applicable objects should support top/middle/bottom alignment within container.</x:v>
      </x:c>
      <x:c r="E8" s="12" t="str">
        <x:v>No feature-level vertical align control.</x:v>
      </x:c>
      <x:c r="F8" s="12" t="str">
        <x:v>Gap</x:v>
      </x:c>
      <x:c r="G8" s="12" t="str">
        <x:v>P1</x:v>
      </x:c>
      <x:c r="H8" s="12" t="str">
        <x:v>Task + source audit</x:v>
      </x:c>
      <x:c r="I8" s="12" t="str"/>
      <x:c r="J8" s="12" t="str">
        <x:v>SRC-10,SRC-11</x:v>
      </x:c>
      <x:c r="K8" s="12" t="str">
        <x:v>Not Tested</x:v>
      </x:c>
      <x:c r="L8" s="12" t="str"/>
      <x:c r="M8" s="12" t="str"/>
      <x:c r="N8" s="12" t="str"/>
    </x:row>
    <x:row r="9">
      <x:c r="A9" s="12" t="str">
        <x:v>CV-008</x:v>
      </x:c>
      <x:c r="B9" s="12" t="str">
        <x:v>Object Position</x:v>
      </x:c>
      <x:c r="C9" s="12" t="str">
        <x:v>Width / Fit / Fill</x:v>
      </x:c>
      <x:c r="D9" s="12" t="str">
        <x:v>Image/gallery/button/card should support fit-content, fill, fixed/max width where appropriate.</x:v>
      </x:c>
      <x:c r="E9" s="12" t="str">
        <x:v>No unified object sizing/position panel.</x:v>
      </x:c>
      <x:c r="F9" s="12" t="str">
        <x:v>Gap</x:v>
      </x:c>
      <x:c r="G9" s="12" t="str">
        <x:v>P1</x:v>
      </x:c>
      <x:c r="H9" s="12" t="str">
        <x:v>Task + source audit</x:v>
      </x:c>
      <x:c r="I9" s="12" t="str"/>
      <x:c r="J9" s="12" t="str">
        <x:v>SRC-10</x:v>
      </x:c>
      <x:c r="K9" s="12" t="str">
        <x:v>Not Tested</x:v>
      </x:c>
      <x:c r="L9" s="12" t="str"/>
      <x:c r="M9" s="12" t="str"/>
      <x:c r="N9" s="12" t="str"/>
    </x:row>
    <x:row r="10">
      <x:c r="A10" s="12" t="str">
        <x:v>CV-009</x:v>
      </x:c>
      <x:c r="B10" s="12" t="str">
        <x:v>Object Position</x:v>
      </x:c>
      <x:c r="C10" s="12" t="str">
        <x:v>X/Y or precise position</x:v>
      </x:c>
      <x:c r="D10" s="12" t="str">
        <x:v>Advanced users should have predictable precise placement/position controls where appropriate.</x:v>
      </x:c>
      <x:c r="E10" s="12" t="str">
        <x:v>No object X/Y control; structure is flow-based only.</x:v>
      </x:c>
      <x:c r="F10" s="12" t="str">
        <x:v>Partial</x:v>
      </x:c>
      <x:c r="G10" s="12" t="str">
        <x:v>P2</x:v>
      </x:c>
      <x:c r="H10" s="12" t="str">
        <x:v>Task + source audit</x:v>
      </x:c>
      <x:c r="I10" s="12" t="str"/>
      <x:c r="J10" s="12" t="str">
        <x:v>SRC-10</x:v>
      </x:c>
      <x:c r="K10" s="12" t="str">
        <x:v>Not Tested</x:v>
      </x:c>
      <x:c r="L10" s="12" t="str"/>
      <x:c r="M10" s="12" t="str"/>
      <x:c r="N10" s="12" t="str"/>
    </x:row>
    <x:row r="11">
      <x:c r="A11" s="12" t="str">
        <x:v>CV-010</x:v>
      </x:c>
      <x:c r="B11" s="12" t="str">
        <x:v>Guides</x:v>
      </x:c>
      <x:c r="C11" s="12" t="str">
        <x:v>Snap/guides</x:v>
      </x:c>
      <x:c r="D11" s="12" t="str">
        <x:v>Editor should communicate alignment/snap when positioning or sizing elements.</x:v>
      </x:c>
      <x:c r="E11" s="12" t="str">
        <x:v>No snap/grid/guide UX observed.</x:v>
      </x:c>
      <x:c r="F11" s="12" t="str">
        <x:v>Gap</x:v>
      </x:c>
      <x:c r="G11" s="12" t="str">
        <x:v>P1</x:v>
      </x:c>
      <x:c r="H11" s="12" t="str">
        <x:v>Task + source audit</x:v>
      </x:c>
      <x:c r="I11" s="12" t="str"/>
      <x:c r="J11" s="12" t="str">
        <x:v>SRC-09,SRC-10</x:v>
      </x:c>
      <x:c r="K11" s="12" t="str">
        <x:v>Not Tested</x:v>
      </x:c>
      <x:c r="L11" s="12" t="str"/>
      <x:c r="M11" s="12" t="str"/>
      <x:c r="N11" s="12" t="str"/>
    </x:row>
    <x:row r="12">
      <x:c r="A12" s="12" t="str">
        <x:v>CV-011</x:v>
      </x:c>
      <x:c r="B12" s="12" t="str">
        <x:v>Layers</x:v>
      </x:c>
      <x:c r="C12" s="12" t="str">
        <x:v>Layer order</x:v>
      </x:c>
      <x:c r="D12" s="12" t="str">
        <x:v>Users should be able to bring forward/send backward when features overlap or effects require stacking.</x:v>
      </x:c>
      <x:c r="E12" s="12" t="str">
        <x:v>No explicit layer order control.</x:v>
      </x:c>
      <x:c r="F12" s="12" t="str">
        <x:v>Gap</x:v>
      </x:c>
      <x:c r="G12" s="12" t="str">
        <x:v>P1</x:v>
      </x:c>
      <x:c r="H12" s="12" t="str">
        <x:v>Task + source audit</x:v>
      </x:c>
      <x:c r="I12" s="12" t="str"/>
      <x:c r="J12" s="12" t="str">
        <x:v>SRC-02</x:v>
      </x:c>
      <x:c r="K12" s="12" t="str">
        <x:v>Not Tested</x:v>
      </x:c>
      <x:c r="L12" s="12" t="str"/>
      <x:c r="M12" s="12" t="str"/>
      <x:c r="N12" s="12" t="str"/>
    </x:row>
    <x:row r="13">
      <x:c r="A13" s="12" t="str">
        <x:v>CV-012</x:v>
      </x:c>
      <x:c r="B13" s="12" t="str">
        <x:v>Grouping</x:v>
      </x:c>
      <x:c r="C13" s="12" t="str">
        <x:v>Group/ungroup</x:v>
      </x:c>
      <x:c r="D13" s="12" t="str">
        <x:v>Related elements should be groupable for moving/styling together where supported.</x:v>
      </x:c>
      <x:c r="E13" s="12" t="str">
        <x:v>No group/ungroup feature.</x:v>
      </x:c>
      <x:c r="F13" s="12" t="str">
        <x:v>Gap</x:v>
      </x:c>
      <x:c r="G13" s="12" t="str">
        <x:v>P1</x:v>
      </x:c>
      <x:c r="H13" s="12" t="str">
        <x:v>Task + source audit</x:v>
      </x:c>
      <x:c r="I13" s="12" t="str"/>
      <x:c r="J13" s="12" t="str">
        <x:v>SRC-02</x:v>
      </x:c>
      <x:c r="K13" s="12" t="str">
        <x:v>Not Tested</x:v>
      </x:c>
      <x:c r="L13" s="12" t="str"/>
      <x:c r="M13" s="12" t="str"/>
      <x:c r="N13" s="12" t="str"/>
    </x:row>
    <x:row r="14">
      <x:c r="A14" s="12" t="str">
        <x:v>CV-013</x:v>
      </x:c>
      <x:c r="B14" s="12" t="str">
        <x:v>Lock</x:v>
      </x:c>
      <x:c r="C14" s="12" t="str">
        <x:v>Lock object</x:v>
      </x:c>
      <x:c r="D14" s="12" t="str">
        <x:v>Users should be able to lock finished items to avoid accidental edits.</x:v>
      </x:c>
      <x:c r="E14" s="12" t="str">
        <x:v>No feature lock UX.</x:v>
      </x:c>
      <x:c r="F14" s="12" t="str">
        <x:v>Gap</x:v>
      </x:c>
      <x:c r="G14" s="12" t="str">
        <x:v>P1</x:v>
      </x:c>
      <x:c r="H14" s="12" t="str">
        <x:v>Task + source audit</x:v>
      </x:c>
      <x:c r="I14" s="12" t="str"/>
      <x:c r="J14" s="12" t="str">
        <x:v>SRC-02</x:v>
      </x:c>
      <x:c r="K14" s="12" t="str">
        <x:v>Not Tested</x:v>
      </x:c>
      <x:c r="L14" s="12" t="str"/>
      <x:c r="M14" s="12" t="str"/>
      <x:c r="N14" s="12" t="str"/>
    </x:row>
    <x:row r="15">
      <x:c r="A15" s="12" t="str">
        <x:v>CV-014</x:v>
      </x:c>
      <x:c r="B15" s="12" t="str">
        <x:v>Duplicate</x:v>
      </x:c>
      <x:c r="C15" s="12" t="str">
        <x:v>Duplicate feature</x:v>
      </x:c>
      <x:c r="D15" s="12" t="str">
        <x:v>Quick duplicate is expected for repeated design patterns.</x:v>
      </x:c>
      <x:c r="E15" s="12" t="str">
        <x:v>No obvious feature-level duplicate button in tree/inspector.</x:v>
      </x:c>
      <x:c r="F15" s="12" t="str">
        <x:v>Gap</x:v>
      </x:c>
      <x:c r="G15" s="12" t="str">
        <x:v>P1</x:v>
      </x:c>
      <x:c r="H15" s="12" t="str">
        <x:v>Task + source audit</x:v>
      </x:c>
      <x:c r="I15" s="12" t="str"/>
      <x:c r="J15" s="12" t="str">
        <x:v>SRC-02,SRC-09,SRC-10</x:v>
      </x:c>
      <x:c r="K15" s="12" t="str">
        <x:v>Not Tested</x:v>
      </x:c>
      <x:c r="L15" s="12" t="str"/>
      <x:c r="M15" s="12" t="str"/>
      <x:c r="N15" s="12" t="str"/>
    </x:row>
    <x:row r="16">
      <x:c r="A16" s="12" t="str">
        <x:v>CV-015</x:v>
      </x:c>
      <x:c r="B16" s="12" t="str">
        <x:v>Copy/Paste</x:v>
      </x:c>
      <x:c r="C16" s="12" t="str">
        <x:v>Keyboard copy/paste</x:v>
      </x:c>
      <x:c r="D16" s="12" t="str">
        <x:v>Common editor operations should support familiar shortcuts.</x:v>
      </x:c>
      <x:c r="E16" s="12" t="str">
        <x:v>Undo/Redo shortcuts exist; copy/paste feature shortcuts not observed.</x:v>
      </x:c>
      <x:c r="F16" s="12" t="str">
        <x:v>Gap</x:v>
      </x:c>
      <x:c r="G16" s="12" t="str">
        <x:v>P2</x:v>
      </x:c>
      <x:c r="H16" s="12" t="str">
        <x:v>Task + source audit</x:v>
      </x:c>
      <x:c r="I16" s="12" t="str"/>
      <x:c r="J16" s="12" t="str">
        <x:v>SRC-08</x:v>
      </x:c>
      <x:c r="K16" s="12" t="str">
        <x:v>Not Tested</x:v>
      </x:c>
      <x:c r="L16" s="12" t="str"/>
      <x:c r="M16" s="12" t="str"/>
      <x:c r="N16" s="12" t="str"/>
    </x:row>
    <x:row r="17">
      <x:c r="A17" s="12" t="str">
        <x:v>CV-016</x:v>
      </x:c>
      <x:c r="B17" s="12" t="str">
        <x:v>Undo/Redo</x:v>
      </x:c>
      <x:c r="C17" s="12" t="str">
        <x:v>Recover mistake</x:v>
      </x:c>
      <x:c r="D17" s="12" t="str">
        <x:v>Undo/Redo should be immediate and have keyboard shortcuts.</x:v>
      </x:c>
      <x:c r="E17" s="12" t="str">
        <x:v>v0.14 has history and Ctrl/Cmd+Z/Y.</x:v>
      </x:c>
      <x:c r="F17" s="12" t="str">
        <x:v>Meets</x:v>
      </x:c>
      <x:c r="G17" s="12" t="str">
        <x:v>P0</x:v>
      </x:c>
      <x:c r="H17" s="12" t="str">
        <x:v>Task + source audit</x:v>
      </x:c>
      <x:c r="I17" s="12" t="str"/>
      <x:c r="J17" s="12" t="str">
        <x:v>SRC-02,SRC-09,SRC-10</x:v>
      </x:c>
      <x:c r="K17" s="12" t="str">
        <x:v>Not Tested</x:v>
      </x:c>
      <x:c r="L17" s="12" t="str"/>
      <x:c r="M17" s="12" t="str"/>
      <x:c r="N17" s="12" t="str"/>
    </x:row>
    <x:row r="18">
      <x:c r="A18" s="12" t="str">
        <x:v>CV-017</x:v>
      </x:c>
      <x:c r="B18" s="12" t="str">
        <x:v>Autosave</x:v>
      </x:c>
      <x:c r="C18" s="12" t="str">
        <x:v>Avoid losing work</x:v>
      </x:c>
      <x:c r="D18" s="12" t="str">
        <x:v>Draft autosave with visible state should protect long sessions.</x:v>
      </x:c>
      <x:c r="E18" s="12" t="str">
        <x:v>v0.14 autosave indicator exists.</x:v>
      </x:c>
      <x:c r="F18" s="12" t="str">
        <x:v>Meets</x:v>
      </x:c>
      <x:c r="G18" s="12" t="str">
        <x:v>P0</x:v>
      </x:c>
      <x:c r="H18" s="12" t="str">
        <x:v>Task + source audit</x:v>
      </x:c>
      <x:c r="I18" s="12" t="str"/>
      <x:c r="J18" s="12" t="str">
        <x:v>SRC-02,SRC-09,SRC-10</x:v>
      </x:c>
      <x:c r="K18" s="12" t="str">
        <x:v>Not Tested</x:v>
      </x:c>
      <x:c r="L18" s="12" t="str"/>
      <x:c r="M18" s="12" t="str"/>
      <x:c r="N18" s="12" t="str"/>
    </x:row>
    <x:row r="19">
      <x:c r="A19" s="12" t="str">
        <x:v>CV-018</x:v>
      </x:c>
      <x:c r="B19" s="12" t="str">
        <x:v>Revisions</x:v>
      </x:c>
      <x:c r="C19" s="12" t="str">
        <x:v>Restore prior version</x:v>
      </x:c>
      <x:c r="D19" s="12" t="str">
        <x:v>Saved revisions should be viewable/restorable.</x:v>
      </x:c>
      <x:c r="E19" s="12" t="str">
        <x:v>Revision History exists.</x:v>
      </x:c>
      <x:c r="F19" s="12" t="str">
        <x:v>Meets</x:v>
      </x:c>
      <x:c r="G19" s="12" t="str">
        <x:v>P1</x:v>
      </x:c>
      <x:c r="H19" s="12" t="str">
        <x:v>Task + source audit</x:v>
      </x:c>
      <x:c r="I19" s="12" t="str"/>
      <x:c r="J19" s="12" t="str">
        <x:v>SRC-02,SRC-09,SRC-10</x:v>
      </x:c>
      <x:c r="K19" s="12" t="str">
        <x:v>Not Tested</x:v>
      </x:c>
      <x:c r="L19" s="12" t="str"/>
      <x:c r="M19" s="12" t="str"/>
      <x:c r="N19" s="12" t="str"/>
    </x:row>
    <x:row r="20">
      <x:c r="A20" s="12" t="str">
        <x:v>CV-019</x:v>
      </x:c>
      <x:c r="B20" s="12" t="str">
        <x:v>Inspector</x:v>
      </x:c>
      <x:c r="C20" s="12" t="str">
        <x:v>Contextual controls</x:v>
      </x:c>
      <x:c r="D20" s="12" t="str">
        <x:v>Inspector should only show controls meaningful to selected object.</x:v>
      </x:c>
      <x:c r="E20" s="12" t="str">
        <x:v>Content/Style/Advanced tabs are contextual but Background Design appears on all features even when result is not meaningful.</x:v>
      </x:c>
      <x:c r="F20" s="12" t="str">
        <x:v>Partial</x:v>
      </x:c>
      <x:c r="G20" s="12" t="str">
        <x:v>P0</x:v>
      </x:c>
      <x:c r="H20" s="12" t="str">
        <x:v>Task + source audit</x:v>
      </x:c>
      <x:c r="I20" s="12" t="str"/>
      <x:c r="J20" s="12" t="str">
        <x:v>SRC-02,SRC-09,SRC-10</x:v>
      </x:c>
      <x:c r="K20" s="12" t="str">
        <x:v>Not Tested</x:v>
      </x:c>
      <x:c r="L20" s="12" t="str"/>
      <x:c r="M20" s="12" t="str"/>
      <x:c r="N20" s="12" t="str"/>
    </x:row>
    <x:row r="21">
      <x:c r="A21" s="12" t="str">
        <x:v>CV-020</x:v>
      </x:c>
      <x:c r="B21" s="12" t="str">
        <x:v>Progressive Disclosure</x:v>
      </x:c>
      <x:c r="C21" s="12" t="str">
        <x:v>Avoid overwhelming novice</x:v>
      </x:c>
      <x:c r="D21" s="12" t="str">
        <x:v>Advanced motion/box properties should be separated from core content.</x:v>
      </x:c>
      <x:c r="E21" s="12" t="str">
        <x:v>Advanced tab exists, which is positive.</x:v>
      </x:c>
      <x:c r="F21" s="12" t="str">
        <x:v>Meets</x:v>
      </x:c>
      <x:c r="G21" s="12" t="str">
        <x:v>P1</x:v>
      </x:c>
      <x:c r="H21" s="12" t="str">
        <x:v>Task + source audit</x:v>
      </x:c>
      <x:c r="I21" s="12" t="str"/>
      <x:c r="J21" s="12" t="str">
        <x:v>SRC-02,SRC-09,SRC-10</x:v>
      </x:c>
      <x:c r="K21" s="12" t="str">
        <x:v>Not Tested</x:v>
      </x:c>
      <x:c r="L21" s="12" t="str"/>
      <x:c r="M21" s="12" t="str"/>
      <x:c r="N21" s="12" t="str"/>
    </x:row>
    <x:row r="22">
      <x:c r="A22" s="12" t="str">
        <x:v>CV-021</x:v>
      </x:c>
      <x:c r="B22" s="12" t="str">
        <x:v>Gradient</x:v>
      </x:c>
      <x:c r="C22" s="12" t="str">
        <x:v>Immediate WYSIWYG</x:v>
      </x:c>
      <x:c r="D22" s="12" t="str">
        <x:v>Changing gradient should visibly update selected feature and match Preview/Published.</x:v>
      </x:c>
      <x:c r="E22" s="12" t="str">
        <x:v>Generic wrapper gradient exists; known failure on Greetings and mismatch on Buka Undangan/public Sound.</x:v>
      </x:c>
      <x:c r="F22" s="12" t="str">
        <x:v>Gap</x:v>
      </x:c>
      <x:c r="G22" s="12" t="str">
        <x:v>P0</x:v>
      </x:c>
      <x:c r="H22" s="12" t="str">
        <x:v>Task + source audit</x:v>
      </x:c>
      <x:c r="I22" s="12" t="str"/>
      <x:c r="J22" s="12" t="str">
        <x:v>SRC-03</x:v>
      </x:c>
      <x:c r="K22" s="12" t="str">
        <x:v>Not Tested</x:v>
      </x:c>
      <x:c r="L22" s="12" t="str"/>
      <x:c r="M22" s="12" t="str"/>
      <x:c r="N22" s="12" t="str"/>
    </x:row>
    <x:row r="23">
      <x:c r="A23" s="12" t="str">
        <x:v>CV-022</x:v>
      </x:c>
      <x:c r="B23" s="12" t="str">
        <x:v>Gradient</x:v>
      </x:c>
      <x:c r="C23" s="12" t="str">
        <x:v>All feature compatibility</x:v>
      </x:c>
      <x:c r="D23" s="12" t="str">
        <x:v>Each feature should define whether gradient affects container, internal card, overlay, or is unsupported; UI must reflect that.</x:v>
      </x:c>
      <x:c r="E23" s="12" t="str">
        <x:v>Current UI exposes gradient broadly without feature-specific rendering contract.</x:v>
      </x:c>
      <x:c r="F23" s="12" t="str">
        <x:v>Gap</x:v>
      </x:c>
      <x:c r="G23" s="12" t="str">
        <x:v>P0</x:v>
      </x:c>
      <x:c r="H23" s="12" t="str">
        <x:v>Task + source audit</x:v>
      </x:c>
      <x:c r="I23" s="12" t="str"/>
      <x:c r="J23" s="12" t="str">
        <x:v>SRC-03</x:v>
      </x:c>
      <x:c r="K23" s="12" t="str">
        <x:v>Not Tested</x:v>
      </x:c>
      <x:c r="L23" s="12" t="str"/>
      <x:c r="M23" s="12" t="str"/>
      <x:c r="N23" s="12" t="str"/>
    </x:row>
    <x:row r="24">
      <x:c r="A24" s="12" t="str">
        <x:v>CV-023</x:v>
      </x:c>
      <x:c r="B24" s="12" t="str">
        <x:v>Preview</x:v>
      </x:c>
      <x:c r="C24" s="12" t="str">
        <x:v>Editor/preview parity</x:v>
      </x:c>
      <x:c r="D24" s="12" t="str">
        <x:v>Padding, background, alignment, animation and media should match Preview/Published.</x:v>
      </x:c>
      <x:c r="E24" s="12" t="str">
        <x:v>Previous QA improved parity; template-on-website preview still non-representative.</x:v>
      </x:c>
      <x:c r="F24" s="12" t="str">
        <x:v>Partial</x:v>
      </x:c>
      <x:c r="G24" s="12" t="str">
        <x:v>P0</x:v>
      </x:c>
      <x:c r="H24" s="12" t="str">
        <x:v>Task + source audit</x:v>
      </x:c>
      <x:c r="I24" s="12" t="str">
        <x:v>unsaved vs saved state</x:v>
      </x:c>
      <x:c r="J24" s="12" t="str">
        <x:v>SRC-12,SRC-13</x:v>
      </x:c>
      <x:c r="K24" s="12" t="str">
        <x:v>Not Tested</x:v>
      </x:c>
      <x:c r="L24" s="12" t="str"/>
      <x:c r="M24" s="12" t="str"/>
      <x:c r="N24" s="12" t="str"/>
    </x:row>
    <x:row r="25">
      <x:c r="A25" s="12" t="str">
        <x:v>CV-024</x:v>
      </x:c>
      <x:c r="B25" s="12" t="str">
        <x:v>Responsive</x:v>
      </x:c>
      <x:c r="C25" s="12" t="str">
        <x:v>Desktop/mobile switch</x:v>
      </x:c>
      <x:c r="D25" s="12" t="str">
        <x:v>Designer can quickly preview major breakpoints.</x:v>
      </x:c>
      <x:c r="E25" s="12" t="str">
        <x:v>Desktop/mobile switch exists.</x:v>
      </x:c>
      <x:c r="F25" s="12" t="str">
        <x:v>Meets</x:v>
      </x:c>
      <x:c r="G25" s="12" t="str">
        <x:v>P0</x:v>
      </x:c>
      <x:c r="H25" s="12" t="str">
        <x:v>Task + source audit</x:v>
      </x:c>
      <x:c r="I25" s="12" t="str"/>
      <x:c r="J25" s="12" t="str">
        <x:v>SRC-13</x:v>
      </x:c>
      <x:c r="K25" s="12" t="str">
        <x:v>Not Tested</x:v>
      </x:c>
      <x:c r="L25" s="12" t="str"/>
      <x:c r="M25" s="12" t="str"/>
      <x:c r="N25" s="12" t="str"/>
    </x:row>
    <x:row r="26">
      <x:c r="A26" s="12" t="str">
        <x:v>CV-025</x:v>
      </x:c>
      <x:c r="B26" s="12" t="str">
        <x:v>Responsive</x:v>
      </x:c>
      <x:c r="C26" s="12" t="str">
        <x:v>Tablet / intermediate widths</x:v>
      </x:c>
      <x:c r="D26" s="12" t="str">
        <x:v>Responsive authoring should not only test two extremes.</x:v>
      </x:c>
      <x:c r="E26" s="12" t="str">
        <x:v>No tablet/intermediate preview preset.</x:v>
      </x:c>
      <x:c r="F26" s="12" t="str">
        <x:v>Gap</x:v>
      </x:c>
      <x:c r="G26" s="12" t="str">
        <x:v>P2</x:v>
      </x:c>
      <x:c r="H26" s="12" t="str">
        <x:v>Task + source audit</x:v>
      </x:c>
      <x:c r="I26" s="12" t="str"/>
      <x:c r="J26" s="12" t="str">
        <x:v>SRC-13</x:v>
      </x:c>
      <x:c r="K26" s="12" t="str">
        <x:v>Not Tested</x:v>
      </x:c>
      <x:c r="L26" s="12" t="str"/>
      <x:c r="M26" s="12" t="str"/>
      <x:c r="N26" s="12" t="str"/>
    </x:row>
    <x:row r="27">
      <x:c r="A27" s="12" t="str">
        <x:v>CV-026</x:v>
      </x:c>
      <x:c r="B27" s="12" t="str">
        <x:v>Responsive</x:v>
      </x:c>
      <x:c r="C27" s="12" t="str">
        <x:v>Auto reflow</x:v>
      </x:c>
      <x:c r="D27" s="12" t="str">
        <x:v>Column/feature layout should adapt when viewport changes.</x:v>
      </x:c>
      <x:c r="E27" s="12" t="str">
        <x:v>Grid/fixed layouts have mobile fallbacks; needs broad feature test.</x:v>
      </x:c>
      <x:c r="F27" s="12" t="str">
        <x:v>Needs User Test</x:v>
      </x:c>
      <x:c r="G27" s="12" t="str">
        <x:v>P0</x:v>
      </x:c>
      <x:c r="H27" s="12" t="str">
        <x:v>Task + source audit</x:v>
      </x:c>
      <x:c r="I27" s="12" t="str">
        <x:v>1–4 columns + long text</x:v>
      </x:c>
      <x:c r="J27" s="12" t="str">
        <x:v>SRC-09,SRC-14</x:v>
      </x:c>
      <x:c r="K27" s="12" t="str">
        <x:v>Not Tested</x:v>
      </x:c>
      <x:c r="L27" s="12" t="str"/>
      <x:c r="M27" s="12" t="str"/>
      <x:c r="N27" s="12" t="str"/>
    </x:row>
    <x:row r="28">
      <x:c r="A28" s="12" t="str">
        <x:v>CV-027</x:v>
      </x:c>
      <x:c r="B28" s="12" t="str">
        <x:v>Animation</x:v>
      </x:c>
      <x:c r="C28" s="12" t="str">
        <x:v>Element animation discoverability</x:v>
      </x:c>
      <x:c r="D28" s="12" t="str">
        <x:v>Animation should be a clear element/page action with preview/replay.</x:v>
      </x:c>
      <x:c r="E28" s="12" t="str">
        <x:v>Advanced tab has entrance/transition/visual effect + replay.</x:v>
      </x:c>
      <x:c r="F28" s="12" t="str">
        <x:v>Meets</x:v>
      </x:c>
      <x:c r="G28" s="12" t="str">
        <x:v>P1</x:v>
      </x:c>
      <x:c r="H28" s="12" t="str">
        <x:v>Task + source audit</x:v>
      </x:c>
      <x:c r="I28" s="12" t="str"/>
      <x:c r="J28" s="12" t="str">
        <x:v>SRC-04</x:v>
      </x:c>
      <x:c r="K28" s="12" t="str">
        <x:v>Not Tested</x:v>
      </x:c>
      <x:c r="L28" s="12" t="str"/>
      <x:c r="M28" s="12" t="str"/>
      <x:c r="N28" s="12" t="str"/>
    </x:row>
    <x:row r="29">
      <x:c r="A29" s="12" t="str">
        <x:v>CV-028</x:v>
      </x:c>
      <x:c r="B29" s="12" t="str">
        <x:v>Animation</x:v>
      </x:c>
      <x:c r="C29" s="12" t="str">
        <x:v>Reduced motion</x:v>
      </x:c>
      <x:c r="D29" s="12" t="str">
        <x:v>Preview/public site should degrade motion appropriately.</x:v>
      </x:c>
      <x:c r="E29" s="12" t="str">
        <x:v>No explicit global reduced-motion behavior observed.</x:v>
      </x:c>
      <x:c r="F29" s="12" t="str">
        <x:v>Gap</x:v>
      </x:c>
      <x:c r="G29" s="12" t="str">
        <x:v>P1</x:v>
      </x:c>
      <x:c r="H29" s="12" t="str">
        <x:v>Task + source audit</x:v>
      </x:c>
      <x:c r="I29" s="12" t="str"/>
      <x:c r="J29" s="12" t="str">
        <x:v>SRC-07</x:v>
      </x:c>
      <x:c r="K29" s="12" t="str">
        <x:v>Not Tested</x:v>
      </x:c>
      <x:c r="L29" s="12" t="str"/>
      <x:c r="M29" s="12" t="str"/>
      <x:c r="N29" s="12" t="str"/>
    </x:row>
    <x:row r="30">
      <x:c r="A30" s="12" t="str">
        <x:v>CV-029</x:v>
      </x:c>
      <x:c r="B30" s="12" t="str">
        <x:v>Animation</x:v>
      </x:c>
      <x:c r="C30" s="12" t="str">
        <x:v>Opening transition semantics</x:v>
      </x:c>
      <x:c r="D30" s="12" t="str">
        <x:v>Buka Undangan opening transition should be independent from element entrance animation.</x:v>
      </x:c>
      <x:c r="E30" s="12" t="str">
        <x:v>Currently public opening always uses coverExit fade/scale 720ms.</x:v>
      </x:c>
      <x:c r="F30" s="12" t="str">
        <x:v>Gap</x:v>
      </x:c>
      <x:c r="G30" s="12" t="str">
        <x:v>P0</x:v>
      </x:c>
      <x:c r="H30" s="12" t="str">
        <x:v>Task + source audit</x:v>
      </x:c>
      <x:c r="I30" s="12" t="str"/>
      <x:c r="J30" s="12" t="str">
        <x:v>SRC-04</x:v>
      </x:c>
      <x:c r="K30" s="12" t="str">
        <x:v>Not Tested</x:v>
      </x:c>
      <x:c r="L30" s="12" t="str"/>
      <x:c r="M30" s="12" t="str"/>
      <x:c r="N30" s="12" t="str"/>
    </x:row>
    <x:row r="31">
      <x:c r="A31" s="12" t="str">
        <x:v>CV-030</x:v>
      </x:c>
      <x:c r="B31" s="12" t="str">
        <x:v>Media</x:v>
      </x:c>
      <x:c r="C31" s="12" t="str">
        <x:v>Upload feedback</x:v>
      </x:c>
      <x:c r="D31" s="12" t="str">
        <x:v>Uploads need validation, progress, retry and visible file metadata.</x:v>
      </x:c>
      <x:c r="E31" s="12" t="str">
        <x:v>Validation exists; progress/retry UX is limited.</x:v>
      </x:c>
      <x:c r="F31" s="12" t="str">
        <x:v>Partial</x:v>
      </x:c>
      <x:c r="G31" s="12" t="str">
        <x:v>P1</x:v>
      </x:c>
      <x:c r="H31" s="12" t="str">
        <x:v>Task + source audit</x:v>
      </x:c>
      <x:c r="I31" s="12" t="str"/>
      <x:c r="J31" s="12" t="str">
        <x:v>SRC-02,SRC-09,SRC-10</x:v>
      </x:c>
      <x:c r="K31" s="12" t="str">
        <x:v>Not Tested</x:v>
      </x:c>
      <x:c r="L31" s="12" t="str"/>
      <x:c r="M31" s="12" t="str"/>
      <x:c r="N31" s="12" t="str"/>
    </x:row>
    <x:row r="32">
      <x:c r="A32" s="12" t="str">
        <x:v>CV-031</x:v>
      </x:c>
      <x:c r="B32" s="12" t="str">
        <x:v>Error State</x:v>
      </x:c>
      <x:c r="C32" s="12" t="str">
        <x:v>Autosave failure</x:v>
      </x:c>
      <x:c r="D32" s="12" t="str">
        <x:v>User must be able to retry/understand autosave error without losing state.</x:v>
      </x:c>
      <x:c r="E32" s="12" t="str">
        <x:v>Autosave indicator has error state; retry action not obvious.</x:v>
      </x:c>
      <x:c r="F32" s="12" t="str">
        <x:v>Partial</x:v>
      </x:c>
      <x:c r="G32" s="12" t="str">
        <x:v>P1</x:v>
      </x:c>
      <x:c r="H32" s="12" t="str">
        <x:v>Task + source audit</x:v>
      </x:c>
      <x:c r="I32" s="12" t="str"/>
      <x:c r="J32" s="12" t="str">
        <x:v>SRC-02,SRC-09,SRC-10</x:v>
      </x:c>
      <x:c r="K32" s="12" t="str">
        <x:v>Not Tested</x:v>
      </x:c>
      <x:c r="L32" s="12" t="str"/>
      <x:c r="M32" s="12" t="str"/>
      <x:c r="N32" s="12" t="str"/>
    </x:row>
    <x:row r="33">
      <x:c r="A33" s="12" t="str">
        <x:v>CV-032</x:v>
      </x:c>
      <x:c r="B33" s="12" t="str">
        <x:v>Empty State</x:v>
      </x:c>
      <x:c r="C33" s="12" t="str">
        <x:v>0 Canvas</x:v>
      </x:c>
      <x:c r="D33" s="12" t="str">
        <x:v>User should understand next action and not face broken inspector.</x:v>
      </x:c>
      <x:c r="E33" s="12" t="str">
        <x:v>Zero-canvas support exists.</x:v>
      </x:c>
      <x:c r="F33" s="12" t="str">
        <x:v>Meets</x:v>
      </x:c>
      <x:c r="G33" s="12" t="str">
        <x:v>P1</x:v>
      </x:c>
      <x:c r="H33" s="12" t="str">
        <x:v>Task + source audit</x:v>
      </x:c>
      <x:c r="I33" s="12" t="str"/>
      <x:c r="J33" s="12" t="str">
        <x:v>SRC-02,SRC-09,SRC-10</x:v>
      </x:c>
      <x:c r="K33" s="12" t="str">
        <x:v>Not Tested</x:v>
      </x:c>
      <x:c r="L33" s="12" t="str"/>
      <x:c r="M33" s="12" t="str"/>
      <x:c r="N33" s="12" t="str"/>
    </x:row>
    <x:row r="34">
      <x:c r="A34" s="12" t="str">
        <x:v>CV-033</x:v>
      </x:c>
      <x:c r="B34" s="12" t="str">
        <x:v>Long Project</x:v>
      </x:c>
      <x:c r="C34" s="12" t="str">
        <x:v>20+ Canvas</x:v>
      </x:c>
      <x:c r="D34" s="12" t="str">
        <x:v>Navigation/tree should remain usable with many sections.</x:v>
      </x:c>
      <x:c r="E34" s="12" t="str">
        <x:v>No collapse/search/minimap in Page Structure.</x:v>
      </x:c>
      <x:c r="F34" s="12" t="str">
        <x:v>Gap</x:v>
      </x:c>
      <x:c r="G34" s="12" t="str">
        <x:v>P1</x:v>
      </x:c>
      <x:c r="H34" s="12" t="str">
        <x:v>Task + source audit</x:v>
      </x:c>
      <x:c r="I34" s="12" t="str">
        <x:v>20–50 canvases</x:v>
      </x:c>
      <x:c r="J34" s="12" t="str">
        <x:v>SRC-02,SRC-09,SRC-10</x:v>
      </x:c>
      <x:c r="K34" s="12" t="str">
        <x:v>Not Tested</x:v>
      </x:c>
      <x:c r="L34" s="12" t="str"/>
      <x:c r="M34" s="12" t="str"/>
      <x:c r="N34" s="12" t="str"/>
    </x:row>
    <x:row r="35">
      <x:c r="A35" s="12" t="str">
        <x:v>CV-034</x:v>
      </x:c>
      <x:c r="B35" s="12" t="str">
        <x:v>Feature Discovery</x:v>
      </x:c>
      <x:c r="C35" s="12" t="str">
        <x:v>Find a feature quickly</x:v>
      </x:c>
      <x:c r="D35" s="12" t="str">
        <x:v>Feature library should scale with categories/search when feature count grows.</x:v>
      </x:c>
      <x:c r="E35" s="12" t="str">
        <x:v>Current widget grid is flat with ~13 features.</x:v>
      </x:c>
      <x:c r="F35" s="12" t="str">
        <x:v>Partial</x:v>
      </x:c>
      <x:c r="G35" s="12" t="str">
        <x:v>P1</x:v>
      </x:c>
      <x:c r="H35" s="12" t="str">
        <x:v>Task + source audit</x:v>
      </x:c>
      <x:c r="I35" s="12" t="str">
        <x:v>30+ future features</x:v>
      </x:c>
      <x:c r="J35" s="12" t="str">
        <x:v>SRC-02,SRC-09,SRC-10</x:v>
      </x:c>
      <x:c r="K35" s="12" t="str">
        <x:v>Not Tested</x:v>
      </x:c>
      <x:c r="L35" s="12" t="str"/>
      <x:c r="M35" s="12" t="str"/>
      <x:c r="N35" s="12" t="str"/>
    </x:row>
    <x:row r="36">
      <x:c r="A36" s="12" t="str">
        <x:v>CV-035</x:v>
      </x:c>
      <x:c r="B36" s="12" t="str">
        <x:v>Canvas Preview Card</x:v>
      </x:c>
      <x:c r="C36" s="12" t="str">
        <x:v>Represent saved design</x:v>
      </x:c>
      <x:c r="D36" s="12" t="str">
        <x:v>Template-on-website card must preview actual applied/editing result.</x:v>
      </x:c>
      <x:c r="E36" s="12" t="str">
        <x:v>WebsiteTemplatePreview is generic based on preset/preview asset/site title.</x:v>
      </x:c>
      <x:c r="F36" s="12" t="str">
        <x:v>Gap</x:v>
      </x:c>
      <x:c r="G36" s="12" t="str">
        <x:v>P0</x:v>
      </x:c>
      <x:c r="H36" s="12" t="str">
        <x:v>Task + source audit</x:v>
      </x:c>
      <x:c r="I36" s="12" t="str"/>
      <x:c r="J36" s="12" t="str">
        <x:v>SRC-12,SRC-13</x:v>
      </x:c>
      <x:c r="K36" s="12" t="str">
        <x:v>Not Tested</x:v>
      </x:c>
      <x:c r="L36" s="12" t="str"/>
      <x:c r="M36" s="12" t="str"/>
      <x:c r="N36" s="12" t="str"/>
    </x:row>
  </x:sheetData>
  <x:conditionalFormatting sqref="F2:F36">
    <x:cfRule type="expression" dxfId="16" priority="1">
      <x:formula>F2="Meets"</x:formula>
    </x:cfRule>
    <x:cfRule type="expression" dxfId="17" priority="2">
      <x:formula>F2="Partial"</x:formula>
    </x:cfRule>
    <x:cfRule type="expression" dxfId="18" priority="3">
      <x:formula>F2="Gap"</x:formula>
    </x:cfRule>
    <x:cfRule type="expression" dxfId="19" priority="4">
      <x:formula>F2="Fail"</x:formula>
    </x:cfRule>
    <x:cfRule type="expression" dxfId="20" priority="5">
      <x:formula>F2="Needs User Test"</x:formula>
    </x:cfRule>
  </x:conditionalFormatting>
  <x:conditionalFormatting sqref="K2:K36">
    <x:cfRule type="expression" dxfId="21" priority="6">
      <x:formula>K2="Pass"</x:formula>
    </x:cfRule>
    <x:cfRule type="expression" dxfId="22" priority="7">
      <x:formula>K2="Fail"</x:formula>
    </x:cfRule>
    <x:cfRule type="expression" dxfId="23" priority="8">
      <x:formula>K2="Blocked"</x:formula>
    </x:cfRule>
  </x:conditionalFormatting>
  <x:dataValidations count="2">
    <x:dataValidation type="list" sqref="F2:F36">
      <x:formula1>"Meets,Partial,Gap,Fail,Needs User Test"</x:formula1>
    </x:dataValidation>
    <x:dataValidation type="list" sqref="K2:K36">
      <x:formula1>"Not Tested,Pass,Fail,Blocked"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df18bf50c74ad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1" hidden="0" customWidth="1"/>
    <x:col min="3" max="3" width="18" hidden="0" customWidth="1"/>
    <x:col min="4" max="4" width="16" hidden="0" customWidth="1"/>
    <x:col min="5" max="5" width="58" hidden="0" customWidth="1"/>
    <x:col min="6" max="6" width="50" hidden="0" customWidth="1"/>
    <x:col min="7" max="7" width="45" hidden="0" customWidth="1"/>
    <x:col min="8" max="8" width="62" hidden="0" customWidth="1"/>
    <x:col min="9" max="9" width="10" hidden="0" customWidth="1"/>
    <x:col min="10" max="10" width="14" hidden="0" customWidth="1"/>
    <x:col min="11" max="11" width="14" hidden="0" customWidth="1"/>
    <x:col min="12" max="12" width="30" hidden="0" customWidth="1"/>
  </x:cols>
  <x:sheetData>
    <x:row r="1" ht="28" customHeight="1">
      <x:c r="A1" s="6" t="str">
        <x:v>Feature ID</x:v>
      </x:c>
      <x:c r="B1" s="6" t="str">
        <x:v>Feature</x:v>
      </x:c>
      <x:c r="C1" s="6" t="str">
        <x:v>Internal Type</x:v>
      </x:c>
      <x:c r="D1" s="6" t="str">
        <x:v>Pre-Audit Grade</x:v>
      </x:c>
      <x:c r="E1" s="6" t="str">
        <x:v>Gradient Rendering v0.14</x:v>
      </x:c>
      <x:c r="F1" s="6" t="str">
        <x:v>Alignment v0.14</x:v>
      </x:c>
      <x:c r="G1" s="6" t="str">
        <x:v>Current Capability</x:v>
      </x:c>
      <x:c r="H1" s="6" t="str">
        <x:v>Required Improvement</x:v>
      </x:c>
      <x:c r="I1" s="6" t="str">
        <x:v>Priority</x:v>
      </x:c>
      <x:c r="J1" s="6" t="str">
        <x:v>Tester Result</x:v>
      </x:c>
      <x:c r="K1" s="6" t="str">
        <x:v>Defect ID</x:v>
      </x:c>
      <x:c r="L1" s="6" t="str">
        <x:v>Notes</x:v>
      </x:c>
    </x:row>
    <x:row r="2">
      <x:c r="A2" s="12" t="str">
        <x:v>FL-01</x:v>
      </x:c>
      <x:c r="B2" s="12" t="str">
        <x:v>Text</x:v>
      </x:c>
      <x:c r="C2" s="12" t="str">
        <x:v>text</x:v>
      </x:c>
      <x:c r="D2" s="12" t="str">
        <x:v>PASS</x:v>
      </x:c>
      <x:c r="E2" s="12" t="str">
        <x:v>Wrapper gradient visible</x:v>
      </x:c>
      <x:c r="F2" s="12" t="str">
        <x:v>Content alignment exists; no object-level align</x:v>
      </x:c>
      <x:c r="G2" s="12" t="str">
        <x:v>Text editing/typography/animation</x:v>
      </x:c>
      <x:c r="H2" s="12" t="str">
        <x:v>Object alignment/width</x:v>
      </x:c>
      <x:c r="I2" s="12" t="str">
        <x:v>P2</x:v>
      </x:c>
      <x:c r="J2" s="12" t="str">
        <x:v>Not Tested</x:v>
      </x:c>
      <x:c r="K2" s="12" t="str"/>
      <x:c r="L2" s="12" t="str"/>
    </x:row>
    <x:row r="3">
      <x:c r="A3" s="12" t="str">
        <x:v>FL-02</x:v>
      </x:c>
      <x:c r="B3" s="12" t="str">
        <x:v>RSVP Form</x:v>
      </x:c>
      <x:c r="C3" s="12" t="str">
        <x:v>form</x:v>
      </x:c>
      <x:c r="D3" s="12" t="str">
        <x:v>PARTIAL</x:v>
      </x:c>
      <x:c r="E3" s="12" t="str">
        <x:v>Wrapper gradient visible around form; inputs remain white</x:v>
      </x:c>
      <x:c r="F3" s="12" t="str">
        <x:v>align property exists but .canvas-form forces text-align:left</x:v>
      </x:c>
      <x:c r="G3" s="12" t="str">
        <x:v>Fields + style + animation</x:v>
      </x:c>
      <x:c r="H3" s="12" t="str">
        <x:v>Alignment should affect container/layout; theme-aware inner form surface</x:v>
      </x:c>
      <x:c r="I3" s="12" t="str">
        <x:v>P1</x:v>
      </x:c>
      <x:c r="J3" s="12" t="str">
        <x:v>Not Tested</x:v>
      </x:c>
      <x:c r="K3" s="12" t="str"/>
      <x:c r="L3" s="12" t="str"/>
    </x:row>
    <x:row r="4">
      <x:c r="A4" s="12" t="str">
        <x:v>FL-03</x:v>
      </x:c>
      <x:c r="B4" s="12" t="str">
        <x:v>Image</x:v>
      </x:c>
      <x:c r="C4" s="12" t="str">
        <x:v>image</x:v>
      </x:c>
      <x:c r="D4" s="12" t="str">
        <x:v>PARTIAL</x:v>
      </x:c>
      <x:c r="E4" s="12" t="str">
        <x:v>Gradient technically behind image; usually hidden by full-width media</x:v>
      </x:c>
      <x:c r="F4" s="12" t="str">
        <x:v>No align controls</x:v>
      </x:c>
      <x:c r="G4" s="12" t="str">
        <x:v>Upload + BoxStyle + animation</x:v>
      </x:c>
      <x:c r="H4" s="12" t="str">
        <x:v>Object alignment, fit/fill, focal point, opacity</x:v>
      </x:c>
      <x:c r="I4" s="12" t="str">
        <x:v>P1</x:v>
      </x:c>
      <x:c r="J4" s="12" t="str">
        <x:v>Not Tested</x:v>
      </x:c>
      <x:c r="K4" s="12" t="str"/>
      <x:c r="L4" s="12" t="str"/>
    </x:row>
    <x:row r="5">
      <x:c r="A5" s="12" t="str">
        <x:v>FL-04</x:v>
      </x:c>
      <x:c r="B5" s="12" t="str">
        <x:v>Video</x:v>
      </x:c>
      <x:c r="C5" s="12" t="str">
        <x:v>video</x:v>
      </x:c>
      <x:c r="D5" s="12" t="str">
        <x:v>PARTIAL</x:v>
      </x:c>
      <x:c r="E5" s="12" t="str">
        <x:v>Gradient behind video; visually limited</x:v>
      </x:c>
      <x:c r="F5" s="12" t="str">
        <x:v>No align controls</x:v>
      </x:c>
      <x:c r="G5" s="12" t="str">
        <x:v>Upload + generic background/animation</x:v>
      </x:c>
      <x:c r="H5" s="12" t="str">
        <x:v>Object alignment, aspect/focal controls, poster image</x:v>
      </x:c>
      <x:c r="I5" s="12" t="str">
        <x:v>P1</x:v>
      </x:c>
      <x:c r="J5" s="12" t="str">
        <x:v>Not Tested</x:v>
      </x:c>
      <x:c r="K5" s="12" t="str"/>
      <x:c r="L5" s="12" t="str"/>
    </x:row>
    <x:row r="6">
      <x:c r="A6" s="12" t="str">
        <x:v>FL-05</x:v>
      </x:c>
      <x:c r="B6" s="12" t="str">
        <x:v>Gallery</x:v>
      </x:c>
      <x:c r="C6" s="12" t="str">
        <x:v>gallery</x:v>
      </x:c>
      <x:c r="D6" s="12" t="str">
        <x:v>PARTIAL</x:v>
      </x:c>
      <x:c r="E6" s="12" t="str">
        <x:v>Gradient mostly hidden by gallery media</x:v>
      </x:c>
      <x:c r="F6" s="12" t="str">
        <x:v>No align controls</x:v>
      </x:c>
      <x:c r="G6" s="12" t="str">
        <x:v>Grid/carousel/filmstrip + autoplay/full width</x:v>
      </x:c>
      <x:c r="H6" s="12" t="str">
        <x:v>Object alignment, reorder/crop, gradient/container surface contract</x:v>
      </x:c>
      <x:c r="I6" s="12" t="str">
        <x:v>P1</x:v>
      </x:c>
      <x:c r="J6" s="12" t="str">
        <x:v>Not Tested</x:v>
      </x:c>
      <x:c r="K6" s="12" t="str"/>
      <x:c r="L6" s="12" t="str"/>
    </x:row>
    <x:row r="7">
      <x:c r="A7" s="12" t="str">
        <x:v>FL-06</x:v>
      </x:c>
      <x:c r="B7" s="12" t="str">
        <x:v>Event</x:v>
      </x:c>
      <x:c r="C7" s="12" t="str">
        <x:v>event</x:v>
      </x:c>
      <x:c r="D7" s="12" t="str">
        <x:v>PASS</x:v>
      </x:c>
      <x:c r="E7" s="12" t="str">
        <x:v>Gradient visible</x:v>
      </x:c>
      <x:c r="F7" s="12" t="str">
        <x:v>Text align exists; no feature-block position</x:v>
      </x:c>
      <x:c r="G7" s="12" t="str">
        <x:v>Content/style/animation</x:v>
      </x:c>
      <x:c r="H7" s="12" t="str">
        <x:v>Object alignment + icon controls</x:v>
      </x:c>
      <x:c r="I7" s="12" t="str">
        <x:v>P2</x:v>
      </x:c>
      <x:c r="J7" s="12" t="str">
        <x:v>Not Tested</x:v>
      </x:c>
      <x:c r="K7" s="12" t="str"/>
      <x:c r="L7" s="12" t="str"/>
    </x:row>
    <x:row r="8">
      <x:c r="A8" s="12" t="str">
        <x:v>FL-07</x:v>
      </x:c>
      <x:c r="B8" s="12" t="str">
        <x:v>Greetings</x:v>
      </x:c>
      <x:c r="C8" s="12" t="str">
        <x:v>greetings</x:v>
      </x:c>
      <x:c r="D8" s="12" t="str">
        <x:v>FAIL</x:v>
      </x:c>
      <x:c r="E8" s="12" t="str">
        <x:v>USER FAIL: inner form/list cards with rgba white surfaces obscure wrapper gradient</x:v>
      </x:c>
      <x:c r="F8" s="12" t="str">
        <x:v>Align property exists but inner widget forces text-align:left</x:v>
      </x:c>
      <x:c r="G8" s="12" t="str">
        <x:v>Widget + style + animation</x:v>
      </x:c>
      <x:c r="H8" s="12" t="str">
        <x:v>Fix gradient surface, object align, inner card theme settings, empty/large list cases</x:v>
      </x:c>
      <x:c r="I8" s="12" t="str">
        <x:v>P0</x:v>
      </x:c>
      <x:c r="J8" s="12" t="str">
        <x:v>Not Tested</x:v>
      </x:c>
      <x:c r="K8" s="12" t="str"/>
      <x:c r="L8" s="12" t="str"/>
    </x:row>
    <x:row r="9">
      <x:c r="A9" s="12" t="str">
        <x:v>FL-08</x:v>
      </x:c>
      <x:c r="B9" s="12" t="str">
        <x:v>Quote</x:v>
      </x:c>
      <x:c r="C9" s="12" t="str">
        <x:v>quote</x:v>
      </x:c>
      <x:c r="D9" s="12" t="str">
        <x:v>PASS</x:v>
      </x:c>
      <x:c r="E9" s="12" t="str">
        <x:v>Gradient visible</x:v>
      </x:c>
      <x:c r="F9" s="12" t="str">
        <x:v>Text align exists; no feature-block position</x:v>
      </x:c>
      <x:c r="G9" s="12" t="str">
        <x:v>Typography + animation</x:v>
      </x:c>
      <x:c r="H9" s="12" t="str">
        <x:v>Object alignment + quote icon style</x:v>
      </x:c>
      <x:c r="I9" s="12" t="str">
        <x:v>P2</x:v>
      </x:c>
      <x:c r="J9" s="12" t="str">
        <x:v>Not Tested</x:v>
      </x:c>
      <x:c r="K9" s="12" t="str"/>
      <x:c r="L9" s="12" t="str"/>
    </x:row>
    <x:row r="10">
      <x:c r="A10" s="12" t="str">
        <x:v>FL-09</x:v>
      </x:c>
      <x:c r="B10" s="12" t="str">
        <x:v>Wedding Gift</x:v>
      </x:c>
      <x:c r="C10" s="12" t="str">
        <x:v>gift</x:v>
      </x:c>
      <x:c r="D10" s="12" t="str">
        <x:v>PASS</x:v>
      </x:c>
      <x:c r="E10" s="12" t="str">
        <x:v>Gradient visible</x:v>
      </x:c>
      <x:c r="F10" s="12" t="str">
        <x:v>Text align exists; no feature-block position</x:v>
      </x:c>
      <x:c r="G10" s="12" t="str">
        <x:v>Typography + animation</x:v>
      </x:c>
      <x:c r="H10" s="12" t="str">
        <x:v>Object alignment + richer gift card controls</x:v>
      </x:c>
      <x:c r="I10" s="12" t="str">
        <x:v>P2</x:v>
      </x:c>
      <x:c r="J10" s="12" t="str">
        <x:v>Not Tested</x:v>
      </x:c>
      <x:c r="K10" s="12" t="str"/>
      <x:c r="L10" s="12" t="str"/>
    </x:row>
    <x:row r="11">
      <x:c r="A11" s="12" t="str">
        <x:v>FL-10</x:v>
      </x:c>
      <x:c r="B11" s="12" t="str">
        <x:v>Buka Undangan</x:v>
      </x:c>
      <x:c r="C11" s="12" t="str">
        <x:v>invitation-cover</x:v>
      </x:c>
      <x:c r="D11" s="12" t="str">
        <x:v>FAIL</x:v>
      </x:c>
      <x:c r="E11" s="12" t="str">
        <x:v>Feature gradient does not drive public InvitationCover surface; editor cover has hard-coded dark background</x:v>
      </x:c>
      <x:c r="F11" s="12" t="str">
        <x:v>Text align only; icon/button layout remains centered</x:v>
      </x:c>
      <x:c r="G11" s="12" t="str">
        <x:v>Text/background image + generic effects</x:v>
      </x:c>
      <x:c r="H11" s="12" t="str">
        <x:v>Icon picker, button style, opening transitions, real gradient, alignment, button radius</x:v>
      </x:c>
      <x:c r="I11" s="12" t="str">
        <x:v>P0</x:v>
      </x:c>
      <x:c r="J11" s="12" t="str">
        <x:v>Not Tested</x:v>
      </x:c>
      <x:c r="K11" s="12" t="str"/>
      <x:c r="L11" s="12" t="str"/>
    </x:row>
    <x:row r="12">
      <x:c r="A12" s="12" t="str">
        <x:v>FL-11</x:v>
      </x:c>
      <x:c r="B12" s="12" t="str">
        <x:v>Countdown</x:v>
      </x:c>
      <x:c r="C12" s="12" t="str">
        <x:v>countdown</x:v>
      </x:c>
      <x:c r="D12" s="12" t="str">
        <x:v>PASS</x:v>
      </x:c>
      <x:c r="E12" s="12" t="str">
        <x:v>Gradient visible</x:v>
      </x:c>
      <x:c r="F12" s="12" t="str">
        <x:v>Text align exists; no feature-block position</x:v>
      </x:c>
      <x:c r="G12" s="12" t="str">
        <x:v>Date + style + animation</x:v>
      </x:c>
      <x:c r="H12" s="12" t="str">
        <x:v>Object alignment + number layout variants</x:v>
      </x:c>
      <x:c r="I12" s="12" t="str">
        <x:v>P2</x:v>
      </x:c>
      <x:c r="J12" s="12" t="str">
        <x:v>Not Tested</x:v>
      </x:c>
      <x:c r="K12" s="12" t="str"/>
      <x:c r="L12" s="12" t="str"/>
    </x:row>
    <x:row r="13">
      <x:c r="A13" s="12" t="str">
        <x:v>FL-12</x:v>
      </x:c>
      <x:c r="B13" s="12" t="str">
        <x:v>Location</x:v>
      </x:c>
      <x:c r="C13" s="12" t="str">
        <x:v>location</x:v>
      </x:c>
      <x:c r="D13" s="12" t="str">
        <x:v>PASS</x:v>
      </x:c>
      <x:c r="E13" s="12" t="str">
        <x:v>Gradient visible</x:v>
      </x:c>
      <x:c r="F13" s="12" t="str">
        <x:v>Text align exists; no feature-block position</x:v>
      </x:c>
      <x:c r="G13" s="12" t="str">
        <x:v>Location/address/maps + style</x:v>
      </x:c>
      <x:c r="H13" s="12" t="str">
        <x:v>Object alignment + map/QR layout variants</x:v>
      </x:c>
      <x:c r="I13" s="12" t="str">
        <x:v>P2</x:v>
      </x:c>
      <x:c r="J13" s="12" t="str">
        <x:v>Not Tested</x:v>
      </x:c>
      <x:c r="K13" s="12" t="str"/>
      <x:c r="L13" s="12" t="str"/>
    </x:row>
    <x:row r="14">
      <x:c r="A14" s="12" t="str">
        <x:v>FL-13</x:v>
      </x:c>
      <x:c r="B14" s="12" t="str">
        <x:v>Sound</x:v>
      </x:c>
      <x:c r="C14" s="12" t="str">
        <x:v>sound</x:v>
      </x:c>
      <x:c r="D14" s="12" t="str">
        <x:v>FAIL</x:v>
      </x:c>
      <x:c r="E14" s="12" t="str">
        <x:v>Public fixed player ignores feature wrapper gradient</x:v>
      </x:c>
      <x:c r="F14" s="12" t="str">
        <x:v>No meaningful feature alignment for public fixed player</x:v>
      </x:c>
      <x:c r="G14" s="12" t="str">
        <x:v>Upload/catalog/autoplay + fixed player</x:v>
      </x:c>
      <x:c r="H14" s="12" t="str">
        <x:v>Player position presets, size, theme, color/gradient or explicitly disable irrelevant controls</x:v>
      </x:c>
      <x:c r="I14" s="12" t="str">
        <x:v>P0</x:v>
      </x:c>
      <x:c r="J14" s="12" t="str">
        <x:v>Not Tested</x:v>
      </x:c>
      <x:c r="K14" s="12" t="str"/>
      <x:c r="L14" s="12" t="str"/>
    </x:row>
  </x:sheetData>
  <x:conditionalFormatting sqref="D2:D14">
    <x:cfRule type="expression" dxfId="24" priority="1">
      <x:formula>D2="PASS"</x:formula>
    </x:cfRule>
    <x:cfRule type="expression" dxfId="25" priority="2">
      <x:formula>D2="PARTIAL"</x:formula>
    </x:cfRule>
    <x:cfRule type="expression" dxfId="26" priority="3">
      <x:formula>D2="FAIL"</x:formula>
    </x:cfRule>
  </x:conditionalFormatting>
  <x:conditionalFormatting sqref="J2:J14">
    <x:cfRule type="expression" dxfId="27" priority="4">
      <x:formula>J2="Pass"</x:formula>
    </x:cfRule>
    <x:cfRule type="expression" dxfId="28" priority="5">
      <x:formula>J2="Fail"</x:formula>
    </x:cfRule>
    <x:cfRule type="expression" dxfId="29" priority="6">
      <x:formula>J2="Blocked"</x:formula>
    </x:cfRule>
  </x:conditionalFormatting>
  <x:dataValidations count="1">
    <x:dataValidation type="list" sqref="J2:J14">
      <x:formula1>"Not Tested,Pass,Fail,Blocked"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efd2086c4a45c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2" hidden="0" customWidth="1"/>
    <x:col min="4" max="4" width="55" hidden="0" customWidth="1"/>
    <x:col min="5" max="5" width="55" hidden="0" customWidth="1"/>
    <x:col min="6" max="6" width="16" hidden="0" customWidth="1"/>
    <x:col min="7" max="7" width="10" hidden="0" customWidth="1"/>
    <x:col min="8" max="8" width="42" hidden="0" customWidth="1"/>
    <x:col min="9" max="9" width="20" hidden="0" customWidth="1"/>
    <x:col min="10" max="10" width="14" hidden="0" customWidth="1"/>
    <x:col min="11" max="11" width="44" hidden="0" customWidth="1"/>
    <x:col min="12" max="12" width="14" hidden="0" customWidth="1"/>
    <x:col min="13" max="13" width="28" hidden="0" customWidth="1"/>
  </x:cols>
  <x:sheetData>
    <x:row r="1" ht="28" customHeight="1">
      <x:c r="A1" s="6" t="str">
        <x:v>QA ID</x:v>
      </x:c>
      <x:c r="B1" s="6" t="str">
        <x:v>Feature</x:v>
      </x:c>
      <x:c r="C1" s="6" t="str">
        <x:v>Dimension</x:v>
      </x:c>
      <x:c r="D1" s="6" t="str">
        <x:v>Expected</x:v>
      </x:c>
      <x:c r="E1" s="6" t="str">
        <x:v>Current v0.14</x:v>
      </x:c>
      <x:c r="F1" s="6" t="str">
        <x:v>Pre-Audit</x:v>
      </x:c>
      <x:c r="G1" s="6" t="str">
        <x:v>Priority</x:v>
      </x:c>
      <x:c r="H1" s="6" t="str">
        <x:v>Edge Case</x:v>
      </x:c>
      <x:c r="I1" s="6" t="str">
        <x:v>Source IDs</x:v>
      </x:c>
      <x:c r="J1" s="6" t="str">
        <x:v>Tester Result</x:v>
      </x:c>
      <x:c r="K1" s="6" t="str">
        <x:v>Actual Observation</x:v>
      </x:c>
      <x:c r="L1" s="6" t="str">
        <x:v>Defect ID</x:v>
      </x:c>
      <x:c r="M1" s="6" t="str">
        <x:v>Notes</x:v>
      </x:c>
    </x:row>
    <x:row r="2">
      <x:c r="A2" s="12" t="str">
        <x:v>FT-001</x:v>
      </x:c>
      <x:c r="B2" s="12" t="str">
        <x:v>Text</x:v>
      </x:c>
      <x:c r="C2" s="12" t="str">
        <x:v>Create/Add</x:v>
      </x:c>
      <x:c r="D2" s="12" t="str">
        <x:v>Click and drag both create feature in intended active column; selection moves to new feature.</x:v>
      </x:c>
      <x:c r="E2" s="12" t="str">
        <x:v>Generic addFeature supports click/drag.</x:v>
      </x:c>
      <x:c r="F2" s="12" t="str">
        <x:v>Meets</x:v>
      </x:c>
      <x:c r="G2" s="12" t="str">
        <x:v>P0</x:v>
      </x:c>
      <x:c r="H2" s="12" t="str">
        <x:v>No active column; fixed layout; first/last canvas</x:v>
      </x:c>
      <x:c r="I2" s="12" t="str">
        <x:v>SRC-02,SRC-03,SRC-04</x:v>
      </x:c>
      <x:c r="J2" s="12" t="str">
        <x:v>Not Tested</x:v>
      </x:c>
      <x:c r="K2" s="12" t="str"/>
      <x:c r="L2" s="12" t="str"/>
      <x:c r="M2" s="12" t="str"/>
    </x:row>
    <x:row r="3">
      <x:c r="A3" s="12" t="str">
        <x:v>FT-002</x:v>
      </x:c>
      <x:c r="B3" s="12" t="str">
        <x:v>Text</x:v>
      </x:c>
      <x:c r="C3" s="12" t="str">
        <x:v>Gradient</x:v>
      </x:c>
      <x:c r="D3" s="12" t="str">
        <x:v>Gradient on/off, colors and angle must visibly match editor, preview and published result.</x:v>
      </x:c>
      <x:c r="E3" s="12" t="str">
        <x:v>Wrapper gradient visible</x:v>
      </x:c>
      <x:c r="F3" s="12" t="str">
        <x:v>Meets</x:v>
      </x:c>
      <x:c r="G3" s="12" t="str">
        <x:v>P0</x:v>
      </x:c>
      <x:c r="H3" s="12" t="str">
        <x:v>0°, 90°, 180°, 360°; same color; high contrast; transparent-like color</x:v>
      </x:c>
      <x:c r="I3" s="12" t="str">
        <x:v>SRC-03</x:v>
      </x:c>
      <x:c r="J3" s="12" t="str">
        <x:v>Not Tested</x:v>
      </x:c>
      <x:c r="K3" s="12" t="str"/>
      <x:c r="L3" s="12" t="str"/>
      <x:c r="M3" s="12" t="str"/>
    </x:row>
    <x:row r="4">
      <x:c r="A4" s="12" t="str">
        <x:v>FT-003</x:v>
      </x:c>
      <x:c r="B4" s="12" t="str">
        <x:v>Text</x:v>
      </x:c>
      <x:c r="C4" s="12" t="str">
        <x:v>Feature Alignment</x:v>
      </x:c>
      <x:c r="D4" s="12" t="str">
        <x:v>Selected feature/card can align Left/Center/Right within its column/container; text alignment is separate.</x:v>
      </x:c>
      <x:c r="E4" s="12" t="str">
        <x:v>Content alignment exists; no object-level align</x:v>
      </x:c>
      <x:c r="F4" s="12" t="str">
        <x:v>Gap</x:v>
      </x:c>
      <x:c r="G4" s="12" t="str">
        <x:v>P0</x:v>
      </x:c>
      <x:c r="H4" s="12" t="str">
        <x:v>narrow mobile; full-width; 1–4 columns</x:v>
      </x:c>
      <x:c r="I4" s="12" t="str">
        <x:v>SRC-02,SRC-10,SRC-11</x:v>
      </x:c>
      <x:c r="J4" s="12" t="str">
        <x:v>Not Tested</x:v>
      </x:c>
      <x:c r="K4" s="12" t="str"/>
      <x:c r="L4" s="12" t="str"/>
      <x:c r="M4" s="12" t="str"/>
    </x:row>
    <x:row r="5">
      <x:c r="A5" s="12" t="str">
        <x:v>FT-004</x:v>
      </x:c>
      <x:c r="B5" s="12" t="str">
        <x:v>Text</x:v>
      </x:c>
      <x:c r="C5" s="12" t="str">
        <x:v>Box / Radius</x:v>
      </x:c>
      <x:c r="D5" s="12" t="str">
        <x:v>Radius, padding and margin should affect the intended visible surface, not an invisible wrapper.</x:v>
      </x:c>
      <x:c r="E5" s="12" t="str">
        <x:v>Text editing/typography/animation</x:v>
      </x:c>
      <x:c r="F5" s="12" t="str">
        <x:v>Partial</x:v>
      </x:c>
      <x:c r="G5" s="12" t="str">
        <x:v>P1</x:v>
      </x:c>
      <x:c r="H5" s="12" t="str">
        <x:v>radius 0 / 80; padding 0 / 80</x:v>
      </x:c>
      <x:c r="I5" s="12" t="str">
        <x:v>SRC-02,SRC-03,SRC-04</x:v>
      </x:c>
      <x:c r="J5" s="12" t="str">
        <x:v>Not Tested</x:v>
      </x:c>
      <x:c r="K5" s="12" t="str"/>
      <x:c r="L5" s="12" t="str"/>
      <x:c r="M5" s="12" t="str"/>
    </x:row>
    <x:row r="6">
      <x:c r="A6" s="12" t="str">
        <x:v>FT-005</x:v>
      </x:c>
      <x:c r="B6" s="12" t="str">
        <x:v>Text</x:v>
      </x:c>
      <x:c r="C6" s="12" t="str">
        <x:v>Animation</x:v>
      </x:c>
      <x:c r="D6" s="12" t="str">
        <x:v>Entrance/transition/effect should replay reliably and match public preview.</x:v>
      </x:c>
      <x:c r="E6" s="12" t="str">
        <x:v>Text editing/typography/animation</x:v>
      </x:c>
      <x:c r="F6" s="12" t="str">
        <x:v>Partial</x:v>
      </x:c>
      <x:c r="G6" s="12" t="str">
        <x:v>P1</x:v>
      </x:c>
      <x:c r="H6" s="12" t="str">
        <x:v>None; extreme intensity; repeated preview; reduced-motion</x:v>
      </x:c>
      <x:c r="I6" s="12" t="str">
        <x:v>SRC-04,SRC-07</x:v>
      </x:c>
      <x:c r="J6" s="12" t="str">
        <x:v>Not Tested</x:v>
      </x:c>
      <x:c r="K6" s="12" t="str"/>
      <x:c r="L6" s="12" t="str"/>
      <x:c r="M6" s="12" t="str"/>
    </x:row>
    <x:row r="7">
      <x:c r="A7" s="12" t="str">
        <x:v>FT-006</x:v>
      </x:c>
      <x:c r="B7" s="12" t="str">
        <x:v>Text</x:v>
      </x:c>
      <x:c r="C7" s="12" t="str">
        <x:v>Responsive</x:v>
      </x:c>
      <x:c r="D7" s="12" t="str">
        <x:v>Feature remains usable and readable on mobile/desktop with no overflow.</x:v>
      </x:c>
      <x:c r="E7" s="12" t="str">
        <x:v>Requires human/device testing.</x:v>
      </x:c>
      <x:c r="F7" s="12" t="str">
        <x:v>Needs User Test</x:v>
      </x:c>
      <x:c r="G7" s="12" t="str">
        <x:v>P0</x:v>
      </x:c>
      <x:c r="H7" s="12" t="str">
        <x:v>320px; 390px; long content; landscape</x:v>
      </x:c>
      <x:c r="I7" s="12" t="str">
        <x:v>SRC-14</x:v>
      </x:c>
      <x:c r="J7" s="12" t="str">
        <x:v>Not Tested</x:v>
      </x:c>
      <x:c r="K7" s="12" t="str"/>
      <x:c r="L7" s="12" t="str"/>
      <x:c r="M7" s="12" t="str"/>
    </x:row>
    <x:row r="8">
      <x:c r="A8" s="12" t="str">
        <x:v>FT-007</x:v>
      </x:c>
      <x:c r="B8" s="12" t="str">
        <x:v>Text</x:v>
      </x:c>
      <x:c r="C8" s="12" t="str">
        <x:v>Duplicate/Delete/Undo</x:v>
      </x:c>
      <x:c r="D8" s="12" t="str">
        <x:v>Delete can be undone; repeated creation does not create broken IDs/state.</x:v>
      </x:c>
      <x:c r="E8" s="12" t="str">
        <x:v>Undo/redo exists; feature duplicate action not explicit.</x:v>
      </x:c>
      <x:c r="F8" s="12" t="str">
        <x:v>Partial</x:v>
      </x:c>
      <x:c r="G8" s="12" t="str">
        <x:v>P1</x:v>
      </x:c>
      <x:c r="H8" s="12" t="str">
        <x:v>delete then undo; duplicate 10x; autosave during undo</x:v>
      </x:c>
      <x:c r="I8" s="12" t="str">
        <x:v>SRC-02,SRC-03,SRC-04</x:v>
      </x:c>
      <x:c r="J8" s="12" t="str">
        <x:v>Not Tested</x:v>
      </x:c>
      <x:c r="K8" s="12" t="str"/>
      <x:c r="L8" s="12" t="str"/>
      <x:c r="M8" s="12" t="str"/>
    </x:row>
    <x:row r="9">
      <x:c r="A9" s="12" t="str">
        <x:v>FT-008</x:v>
      </x:c>
      <x:c r="B9" s="12" t="str">
        <x:v>Text</x:v>
      </x:c>
      <x:c r="C9" s="12" t="str">
        <x:v>Preview Parity</x:v>
      </x:c>
      <x:c r="D9" s="12" t="str">
        <x:v>Editor → full Preview → published site should be visually consistent.</x:v>
      </x:c>
      <x:c r="E9" s="12" t="str">
        <x:v>Feature wrapper uses same core renderer for many cases; special Buka Undangan/Sound paths differ.</x:v>
      </x:c>
      <x:c r="F9" s="12" t="str">
        <x:v>Partial</x:v>
      </x:c>
      <x:c r="G9" s="12" t="str">
        <x:v>P0</x:v>
      </x:c>
      <x:c r="H9" s="12" t="str">
        <x:v>unsaved autosave state; revision restore; template mode vs site mode</x:v>
      </x:c>
      <x:c r="I9" s="12" t="str">
        <x:v>SRC-12,SRC-13</x:v>
      </x:c>
      <x:c r="J9" s="12" t="str">
        <x:v>Not Tested</x:v>
      </x:c>
      <x:c r="K9" s="12" t="str"/>
      <x:c r="L9" s="12" t="str"/>
      <x:c r="M9" s="12" t="str"/>
    </x:row>
    <x:row r="10">
      <x:c r="A10" s="12" t="str">
        <x:v>FT-009</x:v>
      </x:c>
      <x:c r="B10" s="12" t="str">
        <x:v>RSVP Form</x:v>
      </x:c>
      <x:c r="C10" s="12" t="str">
        <x:v>Create/Add</x:v>
      </x:c>
      <x:c r="D10" s="12" t="str">
        <x:v>Click and drag both create feature in intended active column; selection moves to new feature.</x:v>
      </x:c>
      <x:c r="E10" s="12" t="str">
        <x:v>Generic addFeature supports click/drag.</x:v>
      </x:c>
      <x:c r="F10" s="12" t="str">
        <x:v>Meets</x:v>
      </x:c>
      <x:c r="G10" s="12" t="str">
        <x:v>P0</x:v>
      </x:c>
      <x:c r="H10" s="12" t="str">
        <x:v>No active column; fixed layout; first/last canvas</x:v>
      </x:c>
      <x:c r="I10" s="12" t="str">
        <x:v>SRC-02,SRC-03,SRC-04</x:v>
      </x:c>
      <x:c r="J10" s="12" t="str">
        <x:v>Not Tested</x:v>
      </x:c>
      <x:c r="K10" s="12" t="str"/>
      <x:c r="L10" s="12" t="str"/>
      <x:c r="M10" s="12" t="str"/>
    </x:row>
    <x:row r="11">
      <x:c r="A11" s="12" t="str">
        <x:v>FT-010</x:v>
      </x:c>
      <x:c r="B11" s="12" t="str">
        <x:v>RSVP Form</x:v>
      </x:c>
      <x:c r="C11" s="12" t="str">
        <x:v>Gradient</x:v>
      </x:c>
      <x:c r="D11" s="12" t="str">
        <x:v>Gradient on/off, colors and angle must visibly match editor, preview and published result.</x:v>
      </x:c>
      <x:c r="E11" s="12" t="str">
        <x:v>Wrapper gradient visible around form; inputs remain white</x:v>
      </x:c>
      <x:c r="F11" s="12" t="str">
        <x:v>Partial</x:v>
      </x:c>
      <x:c r="G11" s="12" t="str">
        <x:v>P0</x:v>
      </x:c>
      <x:c r="H11" s="12" t="str">
        <x:v>0°, 90°, 180°, 360°; same color; high contrast; transparent-like color</x:v>
      </x:c>
      <x:c r="I11" s="12" t="str">
        <x:v>SRC-03</x:v>
      </x:c>
      <x:c r="J11" s="12" t="str">
        <x:v>Not Tested</x:v>
      </x:c>
      <x:c r="K11" s="12" t="str"/>
      <x:c r="L11" s="12" t="str"/>
      <x:c r="M11" s="12" t="str"/>
    </x:row>
    <x:row r="12">
      <x:c r="A12" s="12" t="str">
        <x:v>FT-011</x:v>
      </x:c>
      <x:c r="B12" s="12" t="str">
        <x:v>RSVP Form</x:v>
      </x:c>
      <x:c r="C12" s="12" t="str">
        <x:v>Feature Alignment</x:v>
      </x:c>
      <x:c r="D12" s="12" t="str">
        <x:v>Selected feature/card can align Left/Center/Right within its column/container; text alignment is separate.</x:v>
      </x:c>
      <x:c r="E12" s="12" t="str">
        <x:v>align property exists but .canvas-form forces text-align:left</x:v>
      </x:c>
      <x:c r="F12" s="12" t="str">
        <x:v>Gap</x:v>
      </x:c>
      <x:c r="G12" s="12" t="str">
        <x:v>P0</x:v>
      </x:c>
      <x:c r="H12" s="12" t="str">
        <x:v>narrow mobile; full-width; 1–4 columns</x:v>
      </x:c>
      <x:c r="I12" s="12" t="str">
        <x:v>SRC-02,SRC-10,SRC-11</x:v>
      </x:c>
      <x:c r="J12" s="12" t="str">
        <x:v>Not Tested</x:v>
      </x:c>
      <x:c r="K12" s="12" t="str"/>
      <x:c r="L12" s="12" t="str"/>
      <x:c r="M12" s="12" t="str"/>
    </x:row>
    <x:row r="13">
      <x:c r="A13" s="12" t="str">
        <x:v>FT-012</x:v>
      </x:c>
      <x:c r="B13" s="12" t="str">
        <x:v>RSVP Form</x:v>
      </x:c>
      <x:c r="C13" s="12" t="str">
        <x:v>Box / Radius</x:v>
      </x:c>
      <x:c r="D13" s="12" t="str">
        <x:v>Radius, padding and margin should affect the intended visible surface, not an invisible wrapper.</x:v>
      </x:c>
      <x:c r="E13" s="12" t="str">
        <x:v>Fields + style + animation</x:v>
      </x:c>
      <x:c r="F13" s="12" t="str">
        <x:v>Partial</x:v>
      </x:c>
      <x:c r="G13" s="12" t="str">
        <x:v>P1</x:v>
      </x:c>
      <x:c r="H13" s="12" t="str">
        <x:v>radius 0 / 80; padding 0 / 80</x:v>
      </x:c>
      <x:c r="I13" s="12" t="str">
        <x:v>SRC-02,SRC-03,SRC-04</x:v>
      </x:c>
      <x:c r="J13" s="12" t="str">
        <x:v>Not Tested</x:v>
      </x:c>
      <x:c r="K13" s="12" t="str"/>
      <x:c r="L13" s="12" t="str"/>
      <x:c r="M13" s="12" t="str"/>
    </x:row>
    <x:row r="14">
      <x:c r="A14" s="12" t="str">
        <x:v>FT-013</x:v>
      </x:c>
      <x:c r="B14" s="12" t="str">
        <x:v>RSVP Form</x:v>
      </x:c>
      <x:c r="C14" s="12" t="str">
        <x:v>Animation</x:v>
      </x:c>
      <x:c r="D14" s="12" t="str">
        <x:v>Entrance/transition/effect should replay reliably and match public preview.</x:v>
      </x:c>
      <x:c r="E14" s="12" t="str">
        <x:v>Fields + style + animation</x:v>
      </x:c>
      <x:c r="F14" s="12" t="str">
        <x:v>Partial</x:v>
      </x:c>
      <x:c r="G14" s="12" t="str">
        <x:v>P1</x:v>
      </x:c>
      <x:c r="H14" s="12" t="str">
        <x:v>None; extreme intensity; repeated preview; reduced-motion</x:v>
      </x:c>
      <x:c r="I14" s="12" t="str">
        <x:v>SRC-04,SRC-07</x:v>
      </x:c>
      <x:c r="J14" s="12" t="str">
        <x:v>Not Tested</x:v>
      </x:c>
      <x:c r="K14" s="12" t="str"/>
      <x:c r="L14" s="12" t="str"/>
      <x:c r="M14" s="12" t="str"/>
    </x:row>
    <x:row r="15">
      <x:c r="A15" s="12" t="str">
        <x:v>FT-014</x:v>
      </x:c>
      <x:c r="B15" s="12" t="str">
        <x:v>RSVP Form</x:v>
      </x:c>
      <x:c r="C15" s="12" t="str">
        <x:v>Responsive</x:v>
      </x:c>
      <x:c r="D15" s="12" t="str">
        <x:v>Feature remains usable and readable on mobile/desktop with no overflow.</x:v>
      </x:c>
      <x:c r="E15" s="12" t="str">
        <x:v>Requires human/device testing.</x:v>
      </x:c>
      <x:c r="F15" s="12" t="str">
        <x:v>Needs User Test</x:v>
      </x:c>
      <x:c r="G15" s="12" t="str">
        <x:v>P0</x:v>
      </x:c>
      <x:c r="H15" s="12" t="str">
        <x:v>320px; 390px; long content; landscape</x:v>
      </x:c>
      <x:c r="I15" s="12" t="str">
        <x:v>SRC-14</x:v>
      </x:c>
      <x:c r="J15" s="12" t="str">
        <x:v>Not Tested</x:v>
      </x:c>
      <x:c r="K15" s="12" t="str"/>
      <x:c r="L15" s="12" t="str"/>
      <x:c r="M15" s="12" t="str"/>
    </x:row>
    <x:row r="16">
      <x:c r="A16" s="12" t="str">
        <x:v>FT-015</x:v>
      </x:c>
      <x:c r="B16" s="12" t="str">
        <x:v>RSVP Form</x:v>
      </x:c>
      <x:c r="C16" s="12" t="str">
        <x:v>Duplicate/Delete/Undo</x:v>
      </x:c>
      <x:c r="D16" s="12" t="str">
        <x:v>Delete can be undone; repeated creation does not create broken IDs/state.</x:v>
      </x:c>
      <x:c r="E16" s="12" t="str">
        <x:v>Undo/redo exists; feature duplicate action not explicit.</x:v>
      </x:c>
      <x:c r="F16" s="12" t="str">
        <x:v>Partial</x:v>
      </x:c>
      <x:c r="G16" s="12" t="str">
        <x:v>P1</x:v>
      </x:c>
      <x:c r="H16" s="12" t="str">
        <x:v>delete then undo; duplicate 10x; autosave during undo</x:v>
      </x:c>
      <x:c r="I16" s="12" t="str">
        <x:v>SRC-02,SRC-03,SRC-04</x:v>
      </x:c>
      <x:c r="J16" s="12" t="str">
        <x:v>Not Tested</x:v>
      </x:c>
      <x:c r="K16" s="12" t="str"/>
      <x:c r="L16" s="12" t="str"/>
      <x:c r="M16" s="12" t="str"/>
    </x:row>
    <x:row r="17">
      <x:c r="A17" s="12" t="str">
        <x:v>FT-016</x:v>
      </x:c>
      <x:c r="B17" s="12" t="str">
        <x:v>RSVP Form</x:v>
      </x:c>
      <x:c r="C17" s="12" t="str">
        <x:v>Preview Parity</x:v>
      </x:c>
      <x:c r="D17" s="12" t="str">
        <x:v>Editor → full Preview → published site should be visually consistent.</x:v>
      </x:c>
      <x:c r="E17" s="12" t="str">
        <x:v>Feature wrapper uses same core renderer for many cases; special Buka Undangan/Sound paths differ.</x:v>
      </x:c>
      <x:c r="F17" s="12" t="str">
        <x:v>Partial</x:v>
      </x:c>
      <x:c r="G17" s="12" t="str">
        <x:v>P0</x:v>
      </x:c>
      <x:c r="H17" s="12" t="str">
        <x:v>unsaved autosave state; revision restore; template mode vs site mode</x:v>
      </x:c>
      <x:c r="I17" s="12" t="str">
        <x:v>SRC-12,SRC-13</x:v>
      </x:c>
      <x:c r="J17" s="12" t="str">
        <x:v>Not Tested</x:v>
      </x:c>
      <x:c r="K17" s="12" t="str"/>
      <x:c r="L17" s="12" t="str"/>
      <x:c r="M17" s="12" t="str"/>
    </x:row>
    <x:row r="18">
      <x:c r="A18" s="12" t="str">
        <x:v>FT-017</x:v>
      </x:c>
      <x:c r="B18" s="12" t="str">
        <x:v>Image</x:v>
      </x:c>
      <x:c r="C18" s="12" t="str">
        <x:v>Create/Add</x:v>
      </x:c>
      <x:c r="D18" s="12" t="str">
        <x:v>Click and drag both create feature in intended active column; selection moves to new feature.</x:v>
      </x:c>
      <x:c r="E18" s="12" t="str">
        <x:v>Generic addFeature supports click/drag.</x:v>
      </x:c>
      <x:c r="F18" s="12" t="str">
        <x:v>Meets</x:v>
      </x:c>
      <x:c r="G18" s="12" t="str">
        <x:v>P0</x:v>
      </x:c>
      <x:c r="H18" s="12" t="str">
        <x:v>No active column; fixed layout; first/last canvas</x:v>
      </x:c>
      <x:c r="I18" s="12" t="str">
        <x:v>SRC-02,SRC-03,SRC-04</x:v>
      </x:c>
      <x:c r="J18" s="12" t="str">
        <x:v>Not Tested</x:v>
      </x:c>
      <x:c r="K18" s="12" t="str"/>
      <x:c r="L18" s="12" t="str"/>
      <x:c r="M18" s="12" t="str"/>
    </x:row>
    <x:row r="19">
      <x:c r="A19" s="12" t="str">
        <x:v>FT-018</x:v>
      </x:c>
      <x:c r="B19" s="12" t="str">
        <x:v>Image</x:v>
      </x:c>
      <x:c r="C19" s="12" t="str">
        <x:v>Gradient</x:v>
      </x:c>
      <x:c r="D19" s="12" t="str">
        <x:v>Gradient on/off, colors and angle must visibly match editor, preview and published result.</x:v>
      </x:c>
      <x:c r="E19" s="12" t="str">
        <x:v>Gradient technically behind image; usually hidden by full-width media</x:v>
      </x:c>
      <x:c r="F19" s="12" t="str">
        <x:v>Partial</x:v>
      </x:c>
      <x:c r="G19" s="12" t="str">
        <x:v>P0</x:v>
      </x:c>
      <x:c r="H19" s="12" t="str">
        <x:v>0°, 90°, 180°, 360°; same color; high contrast; transparent-like color</x:v>
      </x:c>
      <x:c r="I19" s="12" t="str">
        <x:v>SRC-03</x:v>
      </x:c>
      <x:c r="J19" s="12" t="str">
        <x:v>Not Tested</x:v>
      </x:c>
      <x:c r="K19" s="12" t="str"/>
      <x:c r="L19" s="12" t="str"/>
      <x:c r="M19" s="12" t="str"/>
    </x:row>
    <x:row r="20">
      <x:c r="A20" s="12" t="str">
        <x:v>FT-019</x:v>
      </x:c>
      <x:c r="B20" s="12" t="str">
        <x:v>Image</x:v>
      </x:c>
      <x:c r="C20" s="12" t="str">
        <x:v>Feature Alignment</x:v>
      </x:c>
      <x:c r="D20" s="12" t="str">
        <x:v>Selected feature/card can align Left/Center/Right within its column/container; text alignment is separate.</x:v>
      </x:c>
      <x:c r="E20" s="12" t="str">
        <x:v>No align controls</x:v>
      </x:c>
      <x:c r="F20" s="12" t="str">
        <x:v>Gap</x:v>
      </x:c>
      <x:c r="G20" s="12" t="str">
        <x:v>P0</x:v>
      </x:c>
      <x:c r="H20" s="12" t="str">
        <x:v>narrow mobile; full-width; 1–4 columns</x:v>
      </x:c>
      <x:c r="I20" s="12" t="str">
        <x:v>SRC-02,SRC-10,SRC-11</x:v>
      </x:c>
      <x:c r="J20" s="12" t="str">
        <x:v>Not Tested</x:v>
      </x:c>
      <x:c r="K20" s="12" t="str"/>
      <x:c r="L20" s="12" t="str"/>
      <x:c r="M20" s="12" t="str"/>
    </x:row>
    <x:row r="21">
      <x:c r="A21" s="12" t="str">
        <x:v>FT-020</x:v>
      </x:c>
      <x:c r="B21" s="12" t="str">
        <x:v>Image</x:v>
      </x:c>
      <x:c r="C21" s="12" t="str">
        <x:v>Box / Radius</x:v>
      </x:c>
      <x:c r="D21" s="12" t="str">
        <x:v>Radius, padding and margin should affect the intended visible surface, not an invisible wrapper.</x:v>
      </x:c>
      <x:c r="E21" s="12" t="str">
        <x:v>Upload + BoxStyle + animation</x:v>
      </x:c>
      <x:c r="F21" s="12" t="str">
        <x:v>Partial</x:v>
      </x:c>
      <x:c r="G21" s="12" t="str">
        <x:v>P1</x:v>
      </x:c>
      <x:c r="H21" s="12" t="str">
        <x:v>radius 0 / 80; padding 0 / 80</x:v>
      </x:c>
      <x:c r="I21" s="12" t="str">
        <x:v>SRC-02,SRC-03,SRC-04</x:v>
      </x:c>
      <x:c r="J21" s="12" t="str">
        <x:v>Not Tested</x:v>
      </x:c>
      <x:c r="K21" s="12" t="str"/>
      <x:c r="L21" s="12" t="str"/>
      <x:c r="M21" s="12" t="str"/>
    </x:row>
    <x:row r="22">
      <x:c r="A22" s="12" t="str">
        <x:v>FT-021</x:v>
      </x:c>
      <x:c r="B22" s="12" t="str">
        <x:v>Image</x:v>
      </x:c>
      <x:c r="C22" s="12" t="str">
        <x:v>Animation</x:v>
      </x:c>
      <x:c r="D22" s="12" t="str">
        <x:v>Entrance/transition/effect should replay reliably and match public preview.</x:v>
      </x:c>
      <x:c r="E22" s="12" t="str">
        <x:v>Upload + BoxStyle + animation</x:v>
      </x:c>
      <x:c r="F22" s="12" t="str">
        <x:v>Partial</x:v>
      </x:c>
      <x:c r="G22" s="12" t="str">
        <x:v>P1</x:v>
      </x:c>
      <x:c r="H22" s="12" t="str">
        <x:v>None; extreme intensity; repeated preview; reduced-motion</x:v>
      </x:c>
      <x:c r="I22" s="12" t="str">
        <x:v>SRC-04,SRC-07</x:v>
      </x:c>
      <x:c r="J22" s="12" t="str">
        <x:v>Not Tested</x:v>
      </x:c>
      <x:c r="K22" s="12" t="str"/>
      <x:c r="L22" s="12" t="str"/>
      <x:c r="M22" s="12" t="str"/>
    </x:row>
    <x:row r="23">
      <x:c r="A23" s="12" t="str">
        <x:v>FT-022</x:v>
      </x:c>
      <x:c r="B23" s="12" t="str">
        <x:v>Image</x:v>
      </x:c>
      <x:c r="C23" s="12" t="str">
        <x:v>Responsive</x:v>
      </x:c>
      <x:c r="D23" s="12" t="str">
        <x:v>Feature remains usable and readable on mobile/desktop with no overflow.</x:v>
      </x:c>
      <x:c r="E23" s="12" t="str">
        <x:v>Requires human/device testing.</x:v>
      </x:c>
      <x:c r="F23" s="12" t="str">
        <x:v>Needs User Test</x:v>
      </x:c>
      <x:c r="G23" s="12" t="str">
        <x:v>P0</x:v>
      </x:c>
      <x:c r="H23" s="12" t="str">
        <x:v>320px; 390px; long content; landscape</x:v>
      </x:c>
      <x:c r="I23" s="12" t="str">
        <x:v>SRC-14</x:v>
      </x:c>
      <x:c r="J23" s="12" t="str">
        <x:v>Not Tested</x:v>
      </x:c>
      <x:c r="K23" s="12" t="str"/>
      <x:c r="L23" s="12" t="str"/>
      <x:c r="M23" s="12" t="str"/>
    </x:row>
    <x:row r="24">
      <x:c r="A24" s="12" t="str">
        <x:v>FT-023</x:v>
      </x:c>
      <x:c r="B24" s="12" t="str">
        <x:v>Image</x:v>
      </x:c>
      <x:c r="C24" s="12" t="str">
        <x:v>Duplicate/Delete/Undo</x:v>
      </x:c>
      <x:c r="D24" s="12" t="str">
        <x:v>Delete can be undone; repeated creation does not create broken IDs/state.</x:v>
      </x:c>
      <x:c r="E24" s="12" t="str">
        <x:v>Undo/redo exists; feature duplicate action not explicit.</x:v>
      </x:c>
      <x:c r="F24" s="12" t="str">
        <x:v>Partial</x:v>
      </x:c>
      <x:c r="G24" s="12" t="str">
        <x:v>P1</x:v>
      </x:c>
      <x:c r="H24" s="12" t="str">
        <x:v>delete then undo; duplicate 10x; autosave during undo</x:v>
      </x:c>
      <x:c r="I24" s="12" t="str">
        <x:v>SRC-02,SRC-03,SRC-04</x:v>
      </x:c>
      <x:c r="J24" s="12" t="str">
        <x:v>Not Tested</x:v>
      </x:c>
      <x:c r="K24" s="12" t="str"/>
      <x:c r="L24" s="12" t="str"/>
      <x:c r="M24" s="12" t="str"/>
    </x:row>
    <x:row r="25">
      <x:c r="A25" s="12" t="str">
        <x:v>FT-024</x:v>
      </x:c>
      <x:c r="B25" s="12" t="str">
        <x:v>Image</x:v>
      </x:c>
      <x:c r="C25" s="12" t="str">
        <x:v>Preview Parity</x:v>
      </x:c>
      <x:c r="D25" s="12" t="str">
        <x:v>Editor → full Preview → published site should be visually consistent.</x:v>
      </x:c>
      <x:c r="E25" s="12" t="str">
        <x:v>Feature wrapper uses same core renderer for many cases; special Buka Undangan/Sound paths differ.</x:v>
      </x:c>
      <x:c r="F25" s="12" t="str">
        <x:v>Partial</x:v>
      </x:c>
      <x:c r="G25" s="12" t="str">
        <x:v>P0</x:v>
      </x:c>
      <x:c r="H25" s="12" t="str">
        <x:v>unsaved autosave state; revision restore; template mode vs site mode</x:v>
      </x:c>
      <x:c r="I25" s="12" t="str">
        <x:v>SRC-12,SRC-13</x:v>
      </x:c>
      <x:c r="J25" s="12" t="str">
        <x:v>Not Tested</x:v>
      </x:c>
      <x:c r="K25" s="12" t="str"/>
      <x:c r="L25" s="12" t="str"/>
      <x:c r="M25" s="12" t="str"/>
    </x:row>
    <x:row r="26">
      <x:c r="A26" s="12" t="str">
        <x:v>FT-025</x:v>
      </x:c>
      <x:c r="B26" s="12" t="str">
        <x:v>Video</x:v>
      </x:c>
      <x:c r="C26" s="12" t="str">
        <x:v>Create/Add</x:v>
      </x:c>
      <x:c r="D26" s="12" t="str">
        <x:v>Click and drag both create feature in intended active column; selection moves to new feature.</x:v>
      </x:c>
      <x:c r="E26" s="12" t="str">
        <x:v>Generic addFeature supports click/drag.</x:v>
      </x:c>
      <x:c r="F26" s="12" t="str">
        <x:v>Meets</x:v>
      </x:c>
      <x:c r="G26" s="12" t="str">
        <x:v>P0</x:v>
      </x:c>
      <x:c r="H26" s="12" t="str">
        <x:v>No active column; fixed layout; first/last canvas</x:v>
      </x:c>
      <x:c r="I26" s="12" t="str">
        <x:v>SRC-02,SRC-03,SRC-04</x:v>
      </x:c>
      <x:c r="J26" s="12" t="str">
        <x:v>Not Tested</x:v>
      </x:c>
      <x:c r="K26" s="12" t="str"/>
      <x:c r="L26" s="12" t="str"/>
      <x:c r="M26" s="12" t="str"/>
    </x:row>
    <x:row r="27">
      <x:c r="A27" s="12" t="str">
        <x:v>FT-026</x:v>
      </x:c>
      <x:c r="B27" s="12" t="str">
        <x:v>Video</x:v>
      </x:c>
      <x:c r="C27" s="12" t="str">
        <x:v>Gradient</x:v>
      </x:c>
      <x:c r="D27" s="12" t="str">
        <x:v>Gradient on/off, colors and angle must visibly match editor, preview and published result.</x:v>
      </x:c>
      <x:c r="E27" s="12" t="str">
        <x:v>Gradient behind video; visually limited</x:v>
      </x:c>
      <x:c r="F27" s="12" t="str">
        <x:v>Partial</x:v>
      </x:c>
      <x:c r="G27" s="12" t="str">
        <x:v>P0</x:v>
      </x:c>
      <x:c r="H27" s="12" t="str">
        <x:v>0°, 90°, 180°, 360°; same color; high contrast; transparent-like color</x:v>
      </x:c>
      <x:c r="I27" s="12" t="str">
        <x:v>SRC-03</x:v>
      </x:c>
      <x:c r="J27" s="12" t="str">
        <x:v>Not Tested</x:v>
      </x:c>
      <x:c r="K27" s="12" t="str"/>
      <x:c r="L27" s="12" t="str"/>
      <x:c r="M27" s="12" t="str"/>
    </x:row>
    <x:row r="28">
      <x:c r="A28" s="12" t="str">
        <x:v>FT-027</x:v>
      </x:c>
      <x:c r="B28" s="12" t="str">
        <x:v>Video</x:v>
      </x:c>
      <x:c r="C28" s="12" t="str">
        <x:v>Feature Alignment</x:v>
      </x:c>
      <x:c r="D28" s="12" t="str">
        <x:v>Selected feature/card can align Left/Center/Right within its column/container; text alignment is separate.</x:v>
      </x:c>
      <x:c r="E28" s="12" t="str">
        <x:v>No align controls</x:v>
      </x:c>
      <x:c r="F28" s="12" t="str">
        <x:v>Gap</x:v>
      </x:c>
      <x:c r="G28" s="12" t="str">
        <x:v>P0</x:v>
      </x:c>
      <x:c r="H28" s="12" t="str">
        <x:v>narrow mobile; full-width; 1–4 columns</x:v>
      </x:c>
      <x:c r="I28" s="12" t="str">
        <x:v>SRC-02,SRC-10,SRC-11</x:v>
      </x:c>
      <x:c r="J28" s="12" t="str">
        <x:v>Not Tested</x:v>
      </x:c>
      <x:c r="K28" s="12" t="str"/>
      <x:c r="L28" s="12" t="str"/>
      <x:c r="M28" s="12" t="str"/>
    </x:row>
    <x:row r="29">
      <x:c r="A29" s="12" t="str">
        <x:v>FT-028</x:v>
      </x:c>
      <x:c r="B29" s="12" t="str">
        <x:v>Video</x:v>
      </x:c>
      <x:c r="C29" s="12" t="str">
        <x:v>Box / Radius</x:v>
      </x:c>
      <x:c r="D29" s="12" t="str">
        <x:v>Radius, padding and margin should affect the intended visible surface, not an invisible wrapper.</x:v>
      </x:c>
      <x:c r="E29" s="12" t="str">
        <x:v>Upload + generic background/animation</x:v>
      </x:c>
      <x:c r="F29" s="12" t="str">
        <x:v>Partial</x:v>
      </x:c>
      <x:c r="G29" s="12" t="str">
        <x:v>P1</x:v>
      </x:c>
      <x:c r="H29" s="12" t="str">
        <x:v>radius 0 / 80; padding 0 / 80</x:v>
      </x:c>
      <x:c r="I29" s="12" t="str">
        <x:v>SRC-02,SRC-03,SRC-04</x:v>
      </x:c>
      <x:c r="J29" s="12" t="str">
        <x:v>Not Tested</x:v>
      </x:c>
      <x:c r="K29" s="12" t="str"/>
      <x:c r="L29" s="12" t="str"/>
      <x:c r="M29" s="12" t="str"/>
    </x:row>
    <x:row r="30">
      <x:c r="A30" s="12" t="str">
        <x:v>FT-029</x:v>
      </x:c>
      <x:c r="B30" s="12" t="str">
        <x:v>Video</x:v>
      </x:c>
      <x:c r="C30" s="12" t="str">
        <x:v>Animation</x:v>
      </x:c>
      <x:c r="D30" s="12" t="str">
        <x:v>Entrance/transition/effect should replay reliably and match public preview.</x:v>
      </x:c>
      <x:c r="E30" s="12" t="str">
        <x:v>Upload + generic background/animation</x:v>
      </x:c>
      <x:c r="F30" s="12" t="str">
        <x:v>Partial</x:v>
      </x:c>
      <x:c r="G30" s="12" t="str">
        <x:v>P1</x:v>
      </x:c>
      <x:c r="H30" s="12" t="str">
        <x:v>None; extreme intensity; repeated preview; reduced-motion</x:v>
      </x:c>
      <x:c r="I30" s="12" t="str">
        <x:v>SRC-04,SRC-07</x:v>
      </x:c>
      <x:c r="J30" s="12" t="str">
        <x:v>Not Tested</x:v>
      </x:c>
      <x:c r="K30" s="12" t="str"/>
      <x:c r="L30" s="12" t="str"/>
      <x:c r="M30" s="12" t="str"/>
    </x:row>
    <x:row r="31">
      <x:c r="A31" s="12" t="str">
        <x:v>FT-030</x:v>
      </x:c>
      <x:c r="B31" s="12" t="str">
        <x:v>Video</x:v>
      </x:c>
      <x:c r="C31" s="12" t="str">
        <x:v>Responsive</x:v>
      </x:c>
      <x:c r="D31" s="12" t="str">
        <x:v>Feature remains usable and readable on mobile/desktop with no overflow.</x:v>
      </x:c>
      <x:c r="E31" s="12" t="str">
        <x:v>Requires human/device testing.</x:v>
      </x:c>
      <x:c r="F31" s="12" t="str">
        <x:v>Needs User Test</x:v>
      </x:c>
      <x:c r="G31" s="12" t="str">
        <x:v>P0</x:v>
      </x:c>
      <x:c r="H31" s="12" t="str">
        <x:v>320px; 390px; long content; landscape</x:v>
      </x:c>
      <x:c r="I31" s="12" t="str">
        <x:v>SRC-14</x:v>
      </x:c>
      <x:c r="J31" s="12" t="str">
        <x:v>Not Tested</x:v>
      </x:c>
      <x:c r="K31" s="12" t="str"/>
      <x:c r="L31" s="12" t="str"/>
      <x:c r="M31" s="12" t="str"/>
    </x:row>
    <x:row r="32">
      <x:c r="A32" s="12" t="str">
        <x:v>FT-031</x:v>
      </x:c>
      <x:c r="B32" s="12" t="str">
        <x:v>Video</x:v>
      </x:c>
      <x:c r="C32" s="12" t="str">
        <x:v>Duplicate/Delete/Undo</x:v>
      </x:c>
      <x:c r="D32" s="12" t="str">
        <x:v>Delete can be undone; repeated creation does not create broken IDs/state.</x:v>
      </x:c>
      <x:c r="E32" s="12" t="str">
        <x:v>Undo/redo exists; feature duplicate action not explicit.</x:v>
      </x:c>
      <x:c r="F32" s="12" t="str">
        <x:v>Partial</x:v>
      </x:c>
      <x:c r="G32" s="12" t="str">
        <x:v>P1</x:v>
      </x:c>
      <x:c r="H32" s="12" t="str">
        <x:v>delete then undo; duplicate 10x; autosave during undo</x:v>
      </x:c>
      <x:c r="I32" s="12" t="str">
        <x:v>SRC-02,SRC-03,SRC-04</x:v>
      </x:c>
      <x:c r="J32" s="12" t="str">
        <x:v>Not Tested</x:v>
      </x:c>
      <x:c r="K32" s="12" t="str"/>
      <x:c r="L32" s="12" t="str"/>
      <x:c r="M32" s="12" t="str"/>
    </x:row>
    <x:row r="33">
      <x:c r="A33" s="12" t="str">
        <x:v>FT-032</x:v>
      </x:c>
      <x:c r="B33" s="12" t="str">
        <x:v>Video</x:v>
      </x:c>
      <x:c r="C33" s="12" t="str">
        <x:v>Preview Parity</x:v>
      </x:c>
      <x:c r="D33" s="12" t="str">
        <x:v>Editor → full Preview → published site should be visually consistent.</x:v>
      </x:c>
      <x:c r="E33" s="12" t="str">
        <x:v>Feature wrapper uses same core renderer for many cases; special Buka Undangan/Sound paths differ.</x:v>
      </x:c>
      <x:c r="F33" s="12" t="str">
        <x:v>Partial</x:v>
      </x:c>
      <x:c r="G33" s="12" t="str">
        <x:v>P0</x:v>
      </x:c>
      <x:c r="H33" s="12" t="str">
        <x:v>unsaved autosave state; revision restore; template mode vs site mode</x:v>
      </x:c>
      <x:c r="I33" s="12" t="str">
        <x:v>SRC-12,SRC-13</x:v>
      </x:c>
      <x:c r="J33" s="12" t="str">
        <x:v>Not Tested</x:v>
      </x:c>
      <x:c r="K33" s="12" t="str"/>
      <x:c r="L33" s="12" t="str"/>
      <x:c r="M33" s="12" t="str"/>
    </x:row>
    <x:row r="34">
      <x:c r="A34" s="12" t="str">
        <x:v>FT-033</x:v>
      </x:c>
      <x:c r="B34" s="12" t="str">
        <x:v>Gallery</x:v>
      </x:c>
      <x:c r="C34" s="12" t="str">
        <x:v>Create/Add</x:v>
      </x:c>
      <x:c r="D34" s="12" t="str">
        <x:v>Click and drag both create feature in intended active column; selection moves to new feature.</x:v>
      </x:c>
      <x:c r="E34" s="12" t="str">
        <x:v>Generic addFeature supports click/drag.</x:v>
      </x:c>
      <x:c r="F34" s="12" t="str">
        <x:v>Meets</x:v>
      </x:c>
      <x:c r="G34" s="12" t="str">
        <x:v>P0</x:v>
      </x:c>
      <x:c r="H34" s="12" t="str">
        <x:v>No active column; fixed layout; first/last canvas</x:v>
      </x:c>
      <x:c r="I34" s="12" t="str">
        <x:v>SRC-02,SRC-03,SRC-04</x:v>
      </x:c>
      <x:c r="J34" s="12" t="str">
        <x:v>Not Tested</x:v>
      </x:c>
      <x:c r="K34" s="12" t="str"/>
      <x:c r="L34" s="12" t="str"/>
      <x:c r="M34" s="12" t="str"/>
    </x:row>
    <x:row r="35">
      <x:c r="A35" s="12" t="str">
        <x:v>FT-034</x:v>
      </x:c>
      <x:c r="B35" s="12" t="str">
        <x:v>Gallery</x:v>
      </x:c>
      <x:c r="C35" s="12" t="str">
        <x:v>Gradient</x:v>
      </x:c>
      <x:c r="D35" s="12" t="str">
        <x:v>Gradient on/off, colors and angle must visibly match editor, preview and published result.</x:v>
      </x:c>
      <x:c r="E35" s="12" t="str">
        <x:v>Gradient mostly hidden by gallery media</x:v>
      </x:c>
      <x:c r="F35" s="12" t="str">
        <x:v>Partial</x:v>
      </x:c>
      <x:c r="G35" s="12" t="str">
        <x:v>P0</x:v>
      </x:c>
      <x:c r="H35" s="12" t="str">
        <x:v>0°, 90°, 180°, 360°; same color; high contrast; transparent-like color</x:v>
      </x:c>
      <x:c r="I35" s="12" t="str">
        <x:v>SRC-03</x:v>
      </x:c>
      <x:c r="J35" s="12" t="str">
        <x:v>Not Tested</x:v>
      </x:c>
      <x:c r="K35" s="12" t="str"/>
      <x:c r="L35" s="12" t="str"/>
      <x:c r="M35" s="12" t="str"/>
    </x:row>
    <x:row r="36">
      <x:c r="A36" s="12" t="str">
        <x:v>FT-035</x:v>
      </x:c>
      <x:c r="B36" s="12" t="str">
        <x:v>Gallery</x:v>
      </x:c>
      <x:c r="C36" s="12" t="str">
        <x:v>Feature Alignment</x:v>
      </x:c>
      <x:c r="D36" s="12" t="str">
        <x:v>Selected feature/card can align Left/Center/Right within its column/container; text alignment is separate.</x:v>
      </x:c>
      <x:c r="E36" s="12" t="str">
        <x:v>No align controls</x:v>
      </x:c>
      <x:c r="F36" s="12" t="str">
        <x:v>Gap</x:v>
      </x:c>
      <x:c r="G36" s="12" t="str">
        <x:v>P0</x:v>
      </x:c>
      <x:c r="H36" s="12" t="str">
        <x:v>narrow mobile; full-width; 1–4 columns</x:v>
      </x:c>
      <x:c r="I36" s="12" t="str">
        <x:v>SRC-02,SRC-10,SRC-11</x:v>
      </x:c>
      <x:c r="J36" s="12" t="str">
        <x:v>Not Tested</x:v>
      </x:c>
      <x:c r="K36" s="12" t="str"/>
      <x:c r="L36" s="12" t="str"/>
      <x:c r="M36" s="12" t="str"/>
    </x:row>
    <x:row r="37">
      <x:c r="A37" s="12" t="str">
        <x:v>FT-036</x:v>
      </x:c>
      <x:c r="B37" s="12" t="str">
        <x:v>Gallery</x:v>
      </x:c>
      <x:c r="C37" s="12" t="str">
        <x:v>Box / Radius</x:v>
      </x:c>
      <x:c r="D37" s="12" t="str">
        <x:v>Radius, padding and margin should affect the intended visible surface, not an invisible wrapper.</x:v>
      </x:c>
      <x:c r="E37" s="12" t="str">
        <x:v>Grid/carousel/filmstrip + autoplay/full width</x:v>
      </x:c>
      <x:c r="F37" s="12" t="str">
        <x:v>Partial</x:v>
      </x:c>
      <x:c r="G37" s="12" t="str">
        <x:v>P1</x:v>
      </x:c>
      <x:c r="H37" s="12" t="str">
        <x:v>radius 0 / 80; padding 0 / 80</x:v>
      </x:c>
      <x:c r="I37" s="12" t="str">
        <x:v>SRC-02,SRC-03,SRC-04</x:v>
      </x:c>
      <x:c r="J37" s="12" t="str">
        <x:v>Not Tested</x:v>
      </x:c>
      <x:c r="K37" s="12" t="str"/>
      <x:c r="L37" s="12" t="str"/>
      <x:c r="M37" s="12" t="str"/>
    </x:row>
    <x:row r="38">
      <x:c r="A38" s="12" t="str">
        <x:v>FT-037</x:v>
      </x:c>
      <x:c r="B38" s="12" t="str">
        <x:v>Gallery</x:v>
      </x:c>
      <x:c r="C38" s="12" t="str">
        <x:v>Animation</x:v>
      </x:c>
      <x:c r="D38" s="12" t="str">
        <x:v>Entrance/transition/effect should replay reliably and match public preview.</x:v>
      </x:c>
      <x:c r="E38" s="12" t="str">
        <x:v>Grid/carousel/filmstrip + autoplay/full width</x:v>
      </x:c>
      <x:c r="F38" s="12" t="str">
        <x:v>Partial</x:v>
      </x:c>
      <x:c r="G38" s="12" t="str">
        <x:v>P1</x:v>
      </x:c>
      <x:c r="H38" s="12" t="str">
        <x:v>None; extreme intensity; repeated preview; reduced-motion</x:v>
      </x:c>
      <x:c r="I38" s="12" t="str">
        <x:v>SRC-04,SRC-07</x:v>
      </x:c>
      <x:c r="J38" s="12" t="str">
        <x:v>Not Tested</x:v>
      </x:c>
      <x:c r="K38" s="12" t="str"/>
      <x:c r="L38" s="12" t="str"/>
      <x:c r="M38" s="12" t="str"/>
    </x:row>
    <x:row r="39">
      <x:c r="A39" s="12" t="str">
        <x:v>FT-038</x:v>
      </x:c>
      <x:c r="B39" s="12" t="str">
        <x:v>Gallery</x:v>
      </x:c>
      <x:c r="C39" s="12" t="str">
        <x:v>Responsive</x:v>
      </x:c>
      <x:c r="D39" s="12" t="str">
        <x:v>Feature remains usable and readable on mobile/desktop with no overflow.</x:v>
      </x:c>
      <x:c r="E39" s="12" t="str">
        <x:v>Requires human/device testing.</x:v>
      </x:c>
      <x:c r="F39" s="12" t="str">
        <x:v>Needs User Test</x:v>
      </x:c>
      <x:c r="G39" s="12" t="str">
        <x:v>P0</x:v>
      </x:c>
      <x:c r="H39" s="12" t="str">
        <x:v>320px; 390px; long content; landscape</x:v>
      </x:c>
      <x:c r="I39" s="12" t="str">
        <x:v>SRC-14</x:v>
      </x:c>
      <x:c r="J39" s="12" t="str">
        <x:v>Not Tested</x:v>
      </x:c>
      <x:c r="K39" s="12" t="str"/>
      <x:c r="L39" s="12" t="str"/>
      <x:c r="M39" s="12" t="str"/>
    </x:row>
    <x:row r="40">
      <x:c r="A40" s="12" t="str">
        <x:v>FT-039</x:v>
      </x:c>
      <x:c r="B40" s="12" t="str">
        <x:v>Gallery</x:v>
      </x:c>
      <x:c r="C40" s="12" t="str">
        <x:v>Duplicate/Delete/Undo</x:v>
      </x:c>
      <x:c r="D40" s="12" t="str">
        <x:v>Delete can be undone; repeated creation does not create broken IDs/state.</x:v>
      </x:c>
      <x:c r="E40" s="12" t="str">
        <x:v>Undo/redo exists; feature duplicate action not explicit.</x:v>
      </x:c>
      <x:c r="F40" s="12" t="str">
        <x:v>Partial</x:v>
      </x:c>
      <x:c r="G40" s="12" t="str">
        <x:v>P1</x:v>
      </x:c>
      <x:c r="H40" s="12" t="str">
        <x:v>delete then undo; duplicate 10x; autosave during undo</x:v>
      </x:c>
      <x:c r="I40" s="12" t="str">
        <x:v>SRC-02,SRC-03,SRC-04</x:v>
      </x:c>
      <x:c r="J40" s="12" t="str">
        <x:v>Not Tested</x:v>
      </x:c>
      <x:c r="K40" s="12" t="str"/>
      <x:c r="L40" s="12" t="str"/>
      <x:c r="M40" s="12" t="str"/>
    </x:row>
    <x:row r="41">
      <x:c r="A41" s="12" t="str">
        <x:v>FT-040</x:v>
      </x:c>
      <x:c r="B41" s="12" t="str">
        <x:v>Gallery</x:v>
      </x:c>
      <x:c r="C41" s="12" t="str">
        <x:v>Preview Parity</x:v>
      </x:c>
      <x:c r="D41" s="12" t="str">
        <x:v>Editor → full Preview → published site should be visually consistent.</x:v>
      </x:c>
      <x:c r="E41" s="12" t="str">
        <x:v>Feature wrapper uses same core renderer for many cases; special Buka Undangan/Sound paths differ.</x:v>
      </x:c>
      <x:c r="F41" s="12" t="str">
        <x:v>Partial</x:v>
      </x:c>
      <x:c r="G41" s="12" t="str">
        <x:v>P0</x:v>
      </x:c>
      <x:c r="H41" s="12" t="str">
        <x:v>unsaved autosave state; revision restore; template mode vs site mode</x:v>
      </x:c>
      <x:c r="I41" s="12" t="str">
        <x:v>SRC-12,SRC-13</x:v>
      </x:c>
      <x:c r="J41" s="12" t="str">
        <x:v>Not Tested</x:v>
      </x:c>
      <x:c r="K41" s="12" t="str"/>
      <x:c r="L41" s="12" t="str"/>
      <x:c r="M41" s="12" t="str"/>
    </x:row>
    <x:row r="42">
      <x:c r="A42" s="12" t="str">
        <x:v>FT-041</x:v>
      </x:c>
      <x:c r="B42" s="12" t="str">
        <x:v>Event</x:v>
      </x:c>
      <x:c r="C42" s="12" t="str">
        <x:v>Create/Add</x:v>
      </x:c>
      <x:c r="D42" s="12" t="str">
        <x:v>Click and drag both create feature in intended active column; selection moves to new feature.</x:v>
      </x:c>
      <x:c r="E42" s="12" t="str">
        <x:v>Generic addFeature supports click/drag.</x:v>
      </x:c>
      <x:c r="F42" s="12" t="str">
        <x:v>Meets</x:v>
      </x:c>
      <x:c r="G42" s="12" t="str">
        <x:v>P0</x:v>
      </x:c>
      <x:c r="H42" s="12" t="str">
        <x:v>No active column; fixed layout; first/last canvas</x:v>
      </x:c>
      <x:c r="I42" s="12" t="str">
        <x:v>SRC-02,SRC-03,SRC-04</x:v>
      </x:c>
      <x:c r="J42" s="12" t="str">
        <x:v>Not Tested</x:v>
      </x:c>
      <x:c r="K42" s="12" t="str"/>
      <x:c r="L42" s="12" t="str"/>
      <x:c r="M42" s="12" t="str"/>
    </x:row>
    <x:row r="43">
      <x:c r="A43" s="12" t="str">
        <x:v>FT-042</x:v>
      </x:c>
      <x:c r="B43" s="12" t="str">
        <x:v>Event</x:v>
      </x:c>
      <x:c r="C43" s="12" t="str">
        <x:v>Gradient</x:v>
      </x:c>
      <x:c r="D43" s="12" t="str">
        <x:v>Gradient on/off, colors and angle must visibly match editor, preview and published result.</x:v>
      </x:c>
      <x:c r="E43" s="12" t="str">
        <x:v>Gradient visible</x:v>
      </x:c>
      <x:c r="F43" s="12" t="str">
        <x:v>Meets</x:v>
      </x:c>
      <x:c r="G43" s="12" t="str">
        <x:v>P0</x:v>
      </x:c>
      <x:c r="H43" s="12" t="str">
        <x:v>0°, 90°, 180°, 360°; same color; high contrast; transparent-like color</x:v>
      </x:c>
      <x:c r="I43" s="12" t="str">
        <x:v>SRC-03</x:v>
      </x:c>
      <x:c r="J43" s="12" t="str">
        <x:v>Not Tested</x:v>
      </x:c>
      <x:c r="K43" s="12" t="str"/>
      <x:c r="L43" s="12" t="str"/>
      <x:c r="M43" s="12" t="str"/>
    </x:row>
    <x:row r="44">
      <x:c r="A44" s="12" t="str">
        <x:v>FT-043</x:v>
      </x:c>
      <x:c r="B44" s="12" t="str">
        <x:v>Event</x:v>
      </x:c>
      <x:c r="C44" s="12" t="str">
        <x:v>Feature Alignment</x:v>
      </x:c>
      <x:c r="D44" s="12" t="str">
        <x:v>Selected feature/card can align Left/Center/Right within its column/container; text alignment is separate.</x:v>
      </x:c>
      <x:c r="E44" s="12" t="str">
        <x:v>Text align exists; no feature-block position</x:v>
      </x:c>
      <x:c r="F44" s="12" t="str">
        <x:v>Gap</x:v>
      </x:c>
      <x:c r="G44" s="12" t="str">
        <x:v>P0</x:v>
      </x:c>
      <x:c r="H44" s="12" t="str">
        <x:v>narrow mobile; full-width; 1–4 columns</x:v>
      </x:c>
      <x:c r="I44" s="12" t="str">
        <x:v>SRC-02,SRC-10,SRC-11</x:v>
      </x:c>
      <x:c r="J44" s="12" t="str">
        <x:v>Not Tested</x:v>
      </x:c>
      <x:c r="K44" s="12" t="str"/>
      <x:c r="L44" s="12" t="str"/>
      <x:c r="M44" s="12" t="str"/>
    </x:row>
    <x:row r="45">
      <x:c r="A45" s="12" t="str">
        <x:v>FT-044</x:v>
      </x:c>
      <x:c r="B45" s="12" t="str">
        <x:v>Event</x:v>
      </x:c>
      <x:c r="C45" s="12" t="str">
        <x:v>Box / Radius</x:v>
      </x:c>
      <x:c r="D45" s="12" t="str">
        <x:v>Radius, padding and margin should affect the intended visible surface, not an invisible wrapper.</x:v>
      </x:c>
      <x:c r="E45" s="12" t="str">
        <x:v>Content/style/animation</x:v>
      </x:c>
      <x:c r="F45" s="12" t="str">
        <x:v>Partial</x:v>
      </x:c>
      <x:c r="G45" s="12" t="str">
        <x:v>P1</x:v>
      </x:c>
      <x:c r="H45" s="12" t="str">
        <x:v>radius 0 / 80; padding 0 / 80</x:v>
      </x:c>
      <x:c r="I45" s="12" t="str">
        <x:v>SRC-02,SRC-03,SRC-04</x:v>
      </x:c>
      <x:c r="J45" s="12" t="str">
        <x:v>Not Tested</x:v>
      </x:c>
      <x:c r="K45" s="12" t="str"/>
      <x:c r="L45" s="12" t="str"/>
      <x:c r="M45" s="12" t="str"/>
    </x:row>
    <x:row r="46">
      <x:c r="A46" s="12" t="str">
        <x:v>FT-045</x:v>
      </x:c>
      <x:c r="B46" s="12" t="str">
        <x:v>Event</x:v>
      </x:c>
      <x:c r="C46" s="12" t="str">
        <x:v>Animation</x:v>
      </x:c>
      <x:c r="D46" s="12" t="str">
        <x:v>Entrance/transition/effect should replay reliably and match public preview.</x:v>
      </x:c>
      <x:c r="E46" s="12" t="str">
        <x:v>Content/style/animation</x:v>
      </x:c>
      <x:c r="F46" s="12" t="str">
        <x:v>Partial</x:v>
      </x:c>
      <x:c r="G46" s="12" t="str">
        <x:v>P1</x:v>
      </x:c>
      <x:c r="H46" s="12" t="str">
        <x:v>None; extreme intensity; repeated preview; reduced-motion</x:v>
      </x:c>
      <x:c r="I46" s="12" t="str">
        <x:v>SRC-04,SRC-07</x:v>
      </x:c>
      <x:c r="J46" s="12" t="str">
        <x:v>Not Tested</x:v>
      </x:c>
      <x:c r="K46" s="12" t="str"/>
      <x:c r="L46" s="12" t="str"/>
      <x:c r="M46" s="12" t="str"/>
    </x:row>
    <x:row r="47">
      <x:c r="A47" s="12" t="str">
        <x:v>FT-046</x:v>
      </x:c>
      <x:c r="B47" s="12" t="str">
        <x:v>Event</x:v>
      </x:c>
      <x:c r="C47" s="12" t="str">
        <x:v>Responsive</x:v>
      </x:c>
      <x:c r="D47" s="12" t="str">
        <x:v>Feature remains usable and readable on mobile/desktop with no overflow.</x:v>
      </x:c>
      <x:c r="E47" s="12" t="str">
        <x:v>Requires human/device testing.</x:v>
      </x:c>
      <x:c r="F47" s="12" t="str">
        <x:v>Needs User Test</x:v>
      </x:c>
      <x:c r="G47" s="12" t="str">
        <x:v>P0</x:v>
      </x:c>
      <x:c r="H47" s="12" t="str">
        <x:v>320px; 390px; long content; landscape</x:v>
      </x:c>
      <x:c r="I47" s="12" t="str">
        <x:v>SRC-14</x:v>
      </x:c>
      <x:c r="J47" s="12" t="str">
        <x:v>Not Tested</x:v>
      </x:c>
      <x:c r="K47" s="12" t="str"/>
      <x:c r="L47" s="12" t="str"/>
      <x:c r="M47" s="12" t="str"/>
    </x:row>
    <x:row r="48">
      <x:c r="A48" s="12" t="str">
        <x:v>FT-047</x:v>
      </x:c>
      <x:c r="B48" s="12" t="str">
        <x:v>Event</x:v>
      </x:c>
      <x:c r="C48" s="12" t="str">
        <x:v>Duplicate/Delete/Undo</x:v>
      </x:c>
      <x:c r="D48" s="12" t="str">
        <x:v>Delete can be undone; repeated creation does not create broken IDs/state.</x:v>
      </x:c>
      <x:c r="E48" s="12" t="str">
        <x:v>Undo/redo exists; feature duplicate action not explicit.</x:v>
      </x:c>
      <x:c r="F48" s="12" t="str">
        <x:v>Partial</x:v>
      </x:c>
      <x:c r="G48" s="12" t="str">
        <x:v>P1</x:v>
      </x:c>
      <x:c r="H48" s="12" t="str">
        <x:v>delete then undo; duplicate 10x; autosave during undo</x:v>
      </x:c>
      <x:c r="I48" s="12" t="str">
        <x:v>SRC-02,SRC-03,SRC-04</x:v>
      </x:c>
      <x:c r="J48" s="12" t="str">
        <x:v>Not Tested</x:v>
      </x:c>
      <x:c r="K48" s="12" t="str"/>
      <x:c r="L48" s="12" t="str"/>
      <x:c r="M48" s="12" t="str"/>
    </x:row>
    <x:row r="49">
      <x:c r="A49" s="12" t="str">
        <x:v>FT-048</x:v>
      </x:c>
      <x:c r="B49" s="12" t="str">
        <x:v>Event</x:v>
      </x:c>
      <x:c r="C49" s="12" t="str">
        <x:v>Preview Parity</x:v>
      </x:c>
      <x:c r="D49" s="12" t="str">
        <x:v>Editor → full Preview → published site should be visually consistent.</x:v>
      </x:c>
      <x:c r="E49" s="12" t="str">
        <x:v>Feature wrapper uses same core renderer for many cases; special Buka Undangan/Sound paths differ.</x:v>
      </x:c>
      <x:c r="F49" s="12" t="str">
        <x:v>Partial</x:v>
      </x:c>
      <x:c r="G49" s="12" t="str">
        <x:v>P0</x:v>
      </x:c>
      <x:c r="H49" s="12" t="str">
        <x:v>unsaved autosave state; revision restore; template mode vs site mode</x:v>
      </x:c>
      <x:c r="I49" s="12" t="str">
        <x:v>SRC-12,SRC-13</x:v>
      </x:c>
      <x:c r="J49" s="12" t="str">
        <x:v>Not Tested</x:v>
      </x:c>
      <x:c r="K49" s="12" t="str"/>
      <x:c r="L49" s="12" t="str"/>
      <x:c r="M49" s="12" t="str"/>
    </x:row>
    <x:row r="50">
      <x:c r="A50" s="12" t="str">
        <x:v>FT-049</x:v>
      </x:c>
      <x:c r="B50" s="12" t="str">
        <x:v>Greetings</x:v>
      </x:c>
      <x:c r="C50" s="12" t="str">
        <x:v>Create/Add</x:v>
      </x:c>
      <x:c r="D50" s="12" t="str">
        <x:v>Click and drag both create feature in intended active column; selection moves to new feature.</x:v>
      </x:c>
      <x:c r="E50" s="12" t="str">
        <x:v>Generic addFeature supports click/drag.</x:v>
      </x:c>
      <x:c r="F50" s="12" t="str">
        <x:v>Meets</x:v>
      </x:c>
      <x:c r="G50" s="12" t="str">
        <x:v>P0</x:v>
      </x:c>
      <x:c r="H50" s="12" t="str">
        <x:v>No active column; fixed layout; first/last canvas</x:v>
      </x:c>
      <x:c r="I50" s="12" t="str">
        <x:v>SRC-02,SRC-03,SRC-04</x:v>
      </x:c>
      <x:c r="J50" s="12" t="str">
        <x:v>Not Tested</x:v>
      </x:c>
      <x:c r="K50" s="12" t="str"/>
      <x:c r="L50" s="12" t="str"/>
      <x:c r="M50" s="12" t="str"/>
    </x:row>
    <x:row r="51">
      <x:c r="A51" s="12" t="str">
        <x:v>FT-050</x:v>
      </x:c>
      <x:c r="B51" s="12" t="str">
        <x:v>Greetings</x:v>
      </x:c>
      <x:c r="C51" s="12" t="str">
        <x:v>Gradient</x:v>
      </x:c>
      <x:c r="D51" s="12" t="str">
        <x:v>Gradient on/off, colors and angle must visibly match editor, preview and published result.</x:v>
      </x:c>
      <x:c r="E51" s="12" t="str">
        <x:v>USER FAIL: inner form/list cards with rgba white surfaces obscure wrapper gradient</x:v>
      </x:c>
      <x:c r="F51" s="12" t="str">
        <x:v>Fail</x:v>
      </x:c>
      <x:c r="G51" s="12" t="str">
        <x:v>P0</x:v>
      </x:c>
      <x:c r="H51" s="12" t="str">
        <x:v>0°, 90°, 180°, 360°; same color; high contrast; transparent-like color</x:v>
      </x:c>
      <x:c r="I51" s="12" t="str">
        <x:v>SRC-03</x:v>
      </x:c>
      <x:c r="J51" s="12" t="str">
        <x:v>Not Tested</x:v>
      </x:c>
      <x:c r="K51" s="12" t="str"/>
      <x:c r="L51" s="12" t="str"/>
      <x:c r="M51" s="12" t="str"/>
    </x:row>
    <x:row r="52">
      <x:c r="A52" s="12" t="str">
        <x:v>FT-051</x:v>
      </x:c>
      <x:c r="B52" s="12" t="str">
        <x:v>Greetings</x:v>
      </x:c>
      <x:c r="C52" s="12" t="str">
        <x:v>Feature Alignment</x:v>
      </x:c>
      <x:c r="D52" s="12" t="str">
        <x:v>Selected feature/card can align Left/Center/Right within its column/container; text alignment is separate.</x:v>
      </x:c>
      <x:c r="E52" s="12" t="str">
        <x:v>Align property exists but inner widget forces text-align:left</x:v>
      </x:c>
      <x:c r="F52" s="12" t="str">
        <x:v>Gap</x:v>
      </x:c>
      <x:c r="G52" s="12" t="str">
        <x:v>P0</x:v>
      </x:c>
      <x:c r="H52" s="12" t="str">
        <x:v>narrow mobile; full-width; 1–4 columns</x:v>
      </x:c>
      <x:c r="I52" s="12" t="str">
        <x:v>SRC-02,SRC-10,SRC-11</x:v>
      </x:c>
      <x:c r="J52" s="12" t="str">
        <x:v>Not Tested</x:v>
      </x:c>
      <x:c r="K52" s="12" t="str"/>
      <x:c r="L52" s="12" t="str"/>
      <x:c r="M52" s="12" t="str"/>
    </x:row>
    <x:row r="53">
      <x:c r="A53" s="12" t="str">
        <x:v>FT-052</x:v>
      </x:c>
      <x:c r="B53" s="12" t="str">
        <x:v>Greetings</x:v>
      </x:c>
      <x:c r="C53" s="12" t="str">
        <x:v>Box / Radius</x:v>
      </x:c>
      <x:c r="D53" s="12" t="str">
        <x:v>Radius, padding and margin should affect the intended visible surface, not an invisible wrapper.</x:v>
      </x:c>
      <x:c r="E53" s="12" t="str">
        <x:v>Widget + style + animation</x:v>
      </x:c>
      <x:c r="F53" s="12" t="str">
        <x:v>Partial</x:v>
      </x:c>
      <x:c r="G53" s="12" t="str">
        <x:v>P1</x:v>
      </x:c>
      <x:c r="H53" s="12" t="str">
        <x:v>radius 0 / 80; padding 0 / 80</x:v>
      </x:c>
      <x:c r="I53" s="12" t="str">
        <x:v>SRC-02,SRC-03,SRC-04</x:v>
      </x:c>
      <x:c r="J53" s="12" t="str">
        <x:v>Not Tested</x:v>
      </x:c>
      <x:c r="K53" s="12" t="str"/>
      <x:c r="L53" s="12" t="str"/>
      <x:c r="M53" s="12" t="str"/>
    </x:row>
    <x:row r="54">
      <x:c r="A54" s="12" t="str">
        <x:v>FT-053</x:v>
      </x:c>
      <x:c r="B54" s="12" t="str">
        <x:v>Greetings</x:v>
      </x:c>
      <x:c r="C54" s="12" t="str">
        <x:v>Animation</x:v>
      </x:c>
      <x:c r="D54" s="12" t="str">
        <x:v>Entrance/transition/effect should replay reliably and match public preview.</x:v>
      </x:c>
      <x:c r="E54" s="12" t="str">
        <x:v>Widget + style + animation</x:v>
      </x:c>
      <x:c r="F54" s="12" t="str">
        <x:v>Partial</x:v>
      </x:c>
      <x:c r="G54" s="12" t="str">
        <x:v>P1</x:v>
      </x:c>
      <x:c r="H54" s="12" t="str">
        <x:v>None; extreme intensity; repeated preview; reduced-motion</x:v>
      </x:c>
      <x:c r="I54" s="12" t="str">
        <x:v>SRC-04,SRC-07</x:v>
      </x:c>
      <x:c r="J54" s="12" t="str">
        <x:v>Not Tested</x:v>
      </x:c>
      <x:c r="K54" s="12" t="str"/>
      <x:c r="L54" s="12" t="str"/>
      <x:c r="M54" s="12" t="str"/>
    </x:row>
    <x:row r="55">
      <x:c r="A55" s="12" t="str">
        <x:v>FT-054</x:v>
      </x:c>
      <x:c r="B55" s="12" t="str">
        <x:v>Greetings</x:v>
      </x:c>
      <x:c r="C55" s="12" t="str">
        <x:v>Responsive</x:v>
      </x:c>
      <x:c r="D55" s="12" t="str">
        <x:v>Feature remains usable and readable on mobile/desktop with no overflow.</x:v>
      </x:c>
      <x:c r="E55" s="12" t="str">
        <x:v>Requires human/device testing.</x:v>
      </x:c>
      <x:c r="F55" s="12" t="str">
        <x:v>Needs User Test</x:v>
      </x:c>
      <x:c r="G55" s="12" t="str">
        <x:v>P0</x:v>
      </x:c>
      <x:c r="H55" s="12" t="str">
        <x:v>320px; 390px; long content; landscape</x:v>
      </x:c>
      <x:c r="I55" s="12" t="str">
        <x:v>SRC-14</x:v>
      </x:c>
      <x:c r="J55" s="12" t="str">
        <x:v>Not Tested</x:v>
      </x:c>
      <x:c r="K55" s="12" t="str"/>
      <x:c r="L55" s="12" t="str"/>
      <x:c r="M55" s="12" t="str"/>
    </x:row>
    <x:row r="56">
      <x:c r="A56" s="12" t="str">
        <x:v>FT-055</x:v>
      </x:c>
      <x:c r="B56" s="12" t="str">
        <x:v>Greetings</x:v>
      </x:c>
      <x:c r="C56" s="12" t="str">
        <x:v>Duplicate/Delete/Undo</x:v>
      </x:c>
      <x:c r="D56" s="12" t="str">
        <x:v>Delete can be undone; repeated creation does not create broken IDs/state.</x:v>
      </x:c>
      <x:c r="E56" s="12" t="str">
        <x:v>Undo/redo exists; feature duplicate action not explicit.</x:v>
      </x:c>
      <x:c r="F56" s="12" t="str">
        <x:v>Partial</x:v>
      </x:c>
      <x:c r="G56" s="12" t="str">
        <x:v>P1</x:v>
      </x:c>
      <x:c r="H56" s="12" t="str">
        <x:v>delete then undo; duplicate 10x; autosave during undo</x:v>
      </x:c>
      <x:c r="I56" s="12" t="str">
        <x:v>SRC-02,SRC-03,SRC-04</x:v>
      </x:c>
      <x:c r="J56" s="12" t="str">
        <x:v>Not Tested</x:v>
      </x:c>
      <x:c r="K56" s="12" t="str"/>
      <x:c r="L56" s="12" t="str"/>
      <x:c r="M56" s="12" t="str"/>
    </x:row>
    <x:row r="57">
      <x:c r="A57" s="12" t="str">
        <x:v>FT-056</x:v>
      </x:c>
      <x:c r="B57" s="12" t="str">
        <x:v>Greetings</x:v>
      </x:c>
      <x:c r="C57" s="12" t="str">
        <x:v>Preview Parity</x:v>
      </x:c>
      <x:c r="D57" s="12" t="str">
        <x:v>Editor → full Preview → published site should be visually consistent.</x:v>
      </x:c>
      <x:c r="E57" s="12" t="str">
        <x:v>Feature wrapper uses same core renderer for many cases; special Buka Undangan/Sound paths differ.</x:v>
      </x:c>
      <x:c r="F57" s="12" t="str">
        <x:v>Partial</x:v>
      </x:c>
      <x:c r="G57" s="12" t="str">
        <x:v>P0</x:v>
      </x:c>
      <x:c r="H57" s="12" t="str">
        <x:v>unsaved autosave state; revision restore; template mode vs site mode</x:v>
      </x:c>
      <x:c r="I57" s="12" t="str">
        <x:v>SRC-12,SRC-13</x:v>
      </x:c>
      <x:c r="J57" s="12" t="str">
        <x:v>Not Tested</x:v>
      </x:c>
      <x:c r="K57" s="12" t="str"/>
      <x:c r="L57" s="12" t="str"/>
      <x:c r="M57" s="12" t="str"/>
    </x:row>
    <x:row r="58">
      <x:c r="A58" s="12" t="str">
        <x:v>FT-057</x:v>
      </x:c>
      <x:c r="B58" s="12" t="str">
        <x:v>Quote</x:v>
      </x:c>
      <x:c r="C58" s="12" t="str">
        <x:v>Create/Add</x:v>
      </x:c>
      <x:c r="D58" s="12" t="str">
        <x:v>Click and drag both create feature in intended active column; selection moves to new feature.</x:v>
      </x:c>
      <x:c r="E58" s="12" t="str">
        <x:v>Generic addFeature supports click/drag.</x:v>
      </x:c>
      <x:c r="F58" s="12" t="str">
        <x:v>Meets</x:v>
      </x:c>
      <x:c r="G58" s="12" t="str">
        <x:v>P0</x:v>
      </x:c>
      <x:c r="H58" s="12" t="str">
        <x:v>No active column; fixed layout; first/last canvas</x:v>
      </x:c>
      <x:c r="I58" s="12" t="str">
        <x:v>SRC-02,SRC-03,SRC-04</x:v>
      </x:c>
      <x:c r="J58" s="12" t="str">
        <x:v>Not Tested</x:v>
      </x:c>
      <x:c r="K58" s="12" t="str"/>
      <x:c r="L58" s="12" t="str"/>
      <x:c r="M58" s="12" t="str"/>
    </x:row>
    <x:row r="59">
      <x:c r="A59" s="12" t="str">
        <x:v>FT-058</x:v>
      </x:c>
      <x:c r="B59" s="12" t="str">
        <x:v>Quote</x:v>
      </x:c>
      <x:c r="C59" s="12" t="str">
        <x:v>Gradient</x:v>
      </x:c>
      <x:c r="D59" s="12" t="str">
        <x:v>Gradient on/off, colors and angle must visibly match editor, preview and published result.</x:v>
      </x:c>
      <x:c r="E59" s="12" t="str">
        <x:v>Gradient visible</x:v>
      </x:c>
      <x:c r="F59" s="12" t="str">
        <x:v>Meets</x:v>
      </x:c>
      <x:c r="G59" s="12" t="str">
        <x:v>P0</x:v>
      </x:c>
      <x:c r="H59" s="12" t="str">
        <x:v>0°, 90°, 180°, 360°; same color; high contrast; transparent-like color</x:v>
      </x:c>
      <x:c r="I59" s="12" t="str">
        <x:v>SRC-03</x:v>
      </x:c>
      <x:c r="J59" s="12" t="str">
        <x:v>Not Tested</x:v>
      </x:c>
      <x:c r="K59" s="12" t="str"/>
      <x:c r="L59" s="12" t="str"/>
      <x:c r="M59" s="12" t="str"/>
    </x:row>
    <x:row r="60">
      <x:c r="A60" s="12" t="str">
        <x:v>FT-059</x:v>
      </x:c>
      <x:c r="B60" s="12" t="str">
        <x:v>Quote</x:v>
      </x:c>
      <x:c r="C60" s="12" t="str">
        <x:v>Feature Alignment</x:v>
      </x:c>
      <x:c r="D60" s="12" t="str">
        <x:v>Selected feature/card can align Left/Center/Right within its column/container; text alignment is separate.</x:v>
      </x:c>
      <x:c r="E60" s="12" t="str">
        <x:v>Text align exists; no feature-block position</x:v>
      </x:c>
      <x:c r="F60" s="12" t="str">
        <x:v>Gap</x:v>
      </x:c>
      <x:c r="G60" s="12" t="str">
        <x:v>P0</x:v>
      </x:c>
      <x:c r="H60" s="12" t="str">
        <x:v>narrow mobile; full-width; 1–4 columns</x:v>
      </x:c>
      <x:c r="I60" s="12" t="str">
        <x:v>SRC-02,SRC-10,SRC-11</x:v>
      </x:c>
      <x:c r="J60" s="12" t="str">
        <x:v>Not Tested</x:v>
      </x:c>
      <x:c r="K60" s="12" t="str"/>
      <x:c r="L60" s="12" t="str"/>
      <x:c r="M60" s="12" t="str"/>
    </x:row>
    <x:row r="61">
      <x:c r="A61" s="12" t="str">
        <x:v>FT-060</x:v>
      </x:c>
      <x:c r="B61" s="12" t="str">
        <x:v>Quote</x:v>
      </x:c>
      <x:c r="C61" s="12" t="str">
        <x:v>Box / Radius</x:v>
      </x:c>
      <x:c r="D61" s="12" t="str">
        <x:v>Radius, padding and margin should affect the intended visible surface, not an invisible wrapper.</x:v>
      </x:c>
      <x:c r="E61" s="12" t="str">
        <x:v>Typography + animation</x:v>
      </x:c>
      <x:c r="F61" s="12" t="str">
        <x:v>Partial</x:v>
      </x:c>
      <x:c r="G61" s="12" t="str">
        <x:v>P1</x:v>
      </x:c>
      <x:c r="H61" s="12" t="str">
        <x:v>radius 0 / 80; padding 0 / 80</x:v>
      </x:c>
      <x:c r="I61" s="12" t="str">
        <x:v>SRC-02,SRC-03,SRC-04</x:v>
      </x:c>
      <x:c r="J61" s="12" t="str">
        <x:v>Not Tested</x:v>
      </x:c>
      <x:c r="K61" s="12" t="str"/>
      <x:c r="L61" s="12" t="str"/>
      <x:c r="M61" s="12" t="str"/>
    </x:row>
    <x:row r="62">
      <x:c r="A62" s="12" t="str">
        <x:v>FT-061</x:v>
      </x:c>
      <x:c r="B62" s="12" t="str">
        <x:v>Quote</x:v>
      </x:c>
      <x:c r="C62" s="12" t="str">
        <x:v>Animation</x:v>
      </x:c>
      <x:c r="D62" s="12" t="str">
        <x:v>Entrance/transition/effect should replay reliably and match public preview.</x:v>
      </x:c>
      <x:c r="E62" s="12" t="str">
        <x:v>Typography + animation</x:v>
      </x:c>
      <x:c r="F62" s="12" t="str">
        <x:v>Partial</x:v>
      </x:c>
      <x:c r="G62" s="12" t="str">
        <x:v>P1</x:v>
      </x:c>
      <x:c r="H62" s="12" t="str">
        <x:v>None; extreme intensity; repeated preview; reduced-motion</x:v>
      </x:c>
      <x:c r="I62" s="12" t="str">
        <x:v>SRC-04,SRC-07</x:v>
      </x:c>
      <x:c r="J62" s="12" t="str">
        <x:v>Not Tested</x:v>
      </x:c>
      <x:c r="K62" s="12" t="str"/>
      <x:c r="L62" s="12" t="str"/>
      <x:c r="M62" s="12" t="str"/>
    </x:row>
    <x:row r="63">
      <x:c r="A63" s="12" t="str">
        <x:v>FT-062</x:v>
      </x:c>
      <x:c r="B63" s="12" t="str">
        <x:v>Quote</x:v>
      </x:c>
      <x:c r="C63" s="12" t="str">
        <x:v>Responsive</x:v>
      </x:c>
      <x:c r="D63" s="12" t="str">
        <x:v>Feature remains usable and readable on mobile/desktop with no overflow.</x:v>
      </x:c>
      <x:c r="E63" s="12" t="str">
        <x:v>Requires human/device testing.</x:v>
      </x:c>
      <x:c r="F63" s="12" t="str">
        <x:v>Needs User Test</x:v>
      </x:c>
      <x:c r="G63" s="12" t="str">
        <x:v>P0</x:v>
      </x:c>
      <x:c r="H63" s="12" t="str">
        <x:v>320px; 390px; long content; landscape</x:v>
      </x:c>
      <x:c r="I63" s="12" t="str">
        <x:v>SRC-14</x:v>
      </x:c>
      <x:c r="J63" s="12" t="str">
        <x:v>Not Tested</x:v>
      </x:c>
      <x:c r="K63" s="12" t="str"/>
      <x:c r="L63" s="12" t="str"/>
      <x:c r="M63" s="12" t="str"/>
    </x:row>
    <x:row r="64">
      <x:c r="A64" s="12" t="str">
        <x:v>FT-063</x:v>
      </x:c>
      <x:c r="B64" s="12" t="str">
        <x:v>Quote</x:v>
      </x:c>
      <x:c r="C64" s="12" t="str">
        <x:v>Duplicate/Delete/Undo</x:v>
      </x:c>
      <x:c r="D64" s="12" t="str">
        <x:v>Delete can be undone; repeated creation does not create broken IDs/state.</x:v>
      </x:c>
      <x:c r="E64" s="12" t="str">
        <x:v>Undo/redo exists; feature duplicate action not explicit.</x:v>
      </x:c>
      <x:c r="F64" s="12" t="str">
        <x:v>Partial</x:v>
      </x:c>
      <x:c r="G64" s="12" t="str">
        <x:v>P1</x:v>
      </x:c>
      <x:c r="H64" s="12" t="str">
        <x:v>delete then undo; duplicate 10x; autosave during undo</x:v>
      </x:c>
      <x:c r="I64" s="12" t="str">
        <x:v>SRC-02,SRC-03,SRC-04</x:v>
      </x:c>
      <x:c r="J64" s="12" t="str">
        <x:v>Not Tested</x:v>
      </x:c>
      <x:c r="K64" s="12" t="str"/>
      <x:c r="L64" s="12" t="str"/>
      <x:c r="M64" s="12" t="str"/>
    </x:row>
    <x:row r="65">
      <x:c r="A65" s="12" t="str">
        <x:v>FT-064</x:v>
      </x:c>
      <x:c r="B65" s="12" t="str">
        <x:v>Quote</x:v>
      </x:c>
      <x:c r="C65" s="12" t="str">
        <x:v>Preview Parity</x:v>
      </x:c>
      <x:c r="D65" s="12" t="str">
        <x:v>Editor → full Preview → published site should be visually consistent.</x:v>
      </x:c>
      <x:c r="E65" s="12" t="str">
        <x:v>Feature wrapper uses same core renderer for many cases; special Buka Undangan/Sound paths differ.</x:v>
      </x:c>
      <x:c r="F65" s="12" t="str">
        <x:v>Partial</x:v>
      </x:c>
      <x:c r="G65" s="12" t="str">
        <x:v>P0</x:v>
      </x:c>
      <x:c r="H65" s="12" t="str">
        <x:v>unsaved autosave state; revision restore; template mode vs site mode</x:v>
      </x:c>
      <x:c r="I65" s="12" t="str">
        <x:v>SRC-12,SRC-13</x:v>
      </x:c>
      <x:c r="J65" s="12" t="str">
        <x:v>Not Tested</x:v>
      </x:c>
      <x:c r="K65" s="12" t="str"/>
      <x:c r="L65" s="12" t="str"/>
      <x:c r="M65" s="12" t="str"/>
    </x:row>
    <x:row r="66">
      <x:c r="A66" s="12" t="str">
        <x:v>FT-065</x:v>
      </x:c>
      <x:c r="B66" s="12" t="str">
        <x:v>Wedding Gift</x:v>
      </x:c>
      <x:c r="C66" s="12" t="str">
        <x:v>Create/Add</x:v>
      </x:c>
      <x:c r="D66" s="12" t="str">
        <x:v>Click and drag both create feature in intended active column; selection moves to new feature.</x:v>
      </x:c>
      <x:c r="E66" s="12" t="str">
        <x:v>Generic addFeature supports click/drag.</x:v>
      </x:c>
      <x:c r="F66" s="12" t="str">
        <x:v>Meets</x:v>
      </x:c>
      <x:c r="G66" s="12" t="str">
        <x:v>P0</x:v>
      </x:c>
      <x:c r="H66" s="12" t="str">
        <x:v>No active column; fixed layout; first/last canvas</x:v>
      </x:c>
      <x:c r="I66" s="12" t="str">
        <x:v>SRC-02,SRC-03,SRC-04</x:v>
      </x:c>
      <x:c r="J66" s="12" t="str">
        <x:v>Not Tested</x:v>
      </x:c>
      <x:c r="K66" s="12" t="str"/>
      <x:c r="L66" s="12" t="str"/>
      <x:c r="M66" s="12" t="str"/>
    </x:row>
    <x:row r="67">
      <x:c r="A67" s="12" t="str">
        <x:v>FT-066</x:v>
      </x:c>
      <x:c r="B67" s="12" t="str">
        <x:v>Wedding Gift</x:v>
      </x:c>
      <x:c r="C67" s="12" t="str">
        <x:v>Gradient</x:v>
      </x:c>
      <x:c r="D67" s="12" t="str">
        <x:v>Gradient on/off, colors and angle must visibly match editor, preview and published result.</x:v>
      </x:c>
      <x:c r="E67" s="12" t="str">
        <x:v>Gradient visible</x:v>
      </x:c>
      <x:c r="F67" s="12" t="str">
        <x:v>Meets</x:v>
      </x:c>
      <x:c r="G67" s="12" t="str">
        <x:v>P0</x:v>
      </x:c>
      <x:c r="H67" s="12" t="str">
        <x:v>0°, 90°, 180°, 360°; same color; high contrast; transparent-like color</x:v>
      </x:c>
      <x:c r="I67" s="12" t="str">
        <x:v>SRC-03</x:v>
      </x:c>
      <x:c r="J67" s="12" t="str">
        <x:v>Not Tested</x:v>
      </x:c>
      <x:c r="K67" s="12" t="str"/>
      <x:c r="L67" s="12" t="str"/>
      <x:c r="M67" s="12" t="str"/>
    </x:row>
    <x:row r="68">
      <x:c r="A68" s="12" t="str">
        <x:v>FT-067</x:v>
      </x:c>
      <x:c r="B68" s="12" t="str">
        <x:v>Wedding Gift</x:v>
      </x:c>
      <x:c r="C68" s="12" t="str">
        <x:v>Feature Alignment</x:v>
      </x:c>
      <x:c r="D68" s="12" t="str">
        <x:v>Selected feature/card can align Left/Center/Right within its column/container; text alignment is separate.</x:v>
      </x:c>
      <x:c r="E68" s="12" t="str">
        <x:v>Text align exists; no feature-block position</x:v>
      </x:c>
      <x:c r="F68" s="12" t="str">
        <x:v>Gap</x:v>
      </x:c>
      <x:c r="G68" s="12" t="str">
        <x:v>P0</x:v>
      </x:c>
      <x:c r="H68" s="12" t="str">
        <x:v>narrow mobile; full-width; 1–4 columns</x:v>
      </x:c>
      <x:c r="I68" s="12" t="str">
        <x:v>SRC-02,SRC-10,SRC-11</x:v>
      </x:c>
      <x:c r="J68" s="12" t="str">
        <x:v>Not Tested</x:v>
      </x:c>
      <x:c r="K68" s="12" t="str"/>
      <x:c r="L68" s="12" t="str"/>
      <x:c r="M68" s="12" t="str"/>
    </x:row>
    <x:row r="69">
      <x:c r="A69" s="12" t="str">
        <x:v>FT-068</x:v>
      </x:c>
      <x:c r="B69" s="12" t="str">
        <x:v>Wedding Gift</x:v>
      </x:c>
      <x:c r="C69" s="12" t="str">
        <x:v>Box / Radius</x:v>
      </x:c>
      <x:c r="D69" s="12" t="str">
        <x:v>Radius, padding and margin should affect the intended visible surface, not an invisible wrapper.</x:v>
      </x:c>
      <x:c r="E69" s="12" t="str">
        <x:v>Typography + animation</x:v>
      </x:c>
      <x:c r="F69" s="12" t="str">
        <x:v>Partial</x:v>
      </x:c>
      <x:c r="G69" s="12" t="str">
        <x:v>P1</x:v>
      </x:c>
      <x:c r="H69" s="12" t="str">
        <x:v>radius 0 / 80; padding 0 / 80</x:v>
      </x:c>
      <x:c r="I69" s="12" t="str">
        <x:v>SRC-02,SRC-03,SRC-04</x:v>
      </x:c>
      <x:c r="J69" s="12" t="str">
        <x:v>Not Tested</x:v>
      </x:c>
      <x:c r="K69" s="12" t="str"/>
      <x:c r="L69" s="12" t="str"/>
      <x:c r="M69" s="12" t="str"/>
    </x:row>
    <x:row r="70">
      <x:c r="A70" s="12" t="str">
        <x:v>FT-069</x:v>
      </x:c>
      <x:c r="B70" s="12" t="str">
        <x:v>Wedding Gift</x:v>
      </x:c>
      <x:c r="C70" s="12" t="str">
        <x:v>Animation</x:v>
      </x:c>
      <x:c r="D70" s="12" t="str">
        <x:v>Entrance/transition/effect should replay reliably and match public preview.</x:v>
      </x:c>
      <x:c r="E70" s="12" t="str">
        <x:v>Typography + animation</x:v>
      </x:c>
      <x:c r="F70" s="12" t="str">
        <x:v>Partial</x:v>
      </x:c>
      <x:c r="G70" s="12" t="str">
        <x:v>P1</x:v>
      </x:c>
      <x:c r="H70" s="12" t="str">
        <x:v>None; extreme intensity; repeated preview; reduced-motion</x:v>
      </x:c>
      <x:c r="I70" s="12" t="str">
        <x:v>SRC-04,SRC-07</x:v>
      </x:c>
      <x:c r="J70" s="12" t="str">
        <x:v>Not Tested</x:v>
      </x:c>
      <x:c r="K70" s="12" t="str"/>
      <x:c r="L70" s="12" t="str"/>
      <x:c r="M70" s="12" t="str"/>
    </x:row>
    <x:row r="71">
      <x:c r="A71" s="12" t="str">
        <x:v>FT-070</x:v>
      </x:c>
      <x:c r="B71" s="12" t="str">
        <x:v>Wedding Gift</x:v>
      </x:c>
      <x:c r="C71" s="12" t="str">
        <x:v>Responsive</x:v>
      </x:c>
      <x:c r="D71" s="12" t="str">
        <x:v>Feature remains usable and readable on mobile/desktop with no overflow.</x:v>
      </x:c>
      <x:c r="E71" s="12" t="str">
        <x:v>Requires human/device testing.</x:v>
      </x:c>
      <x:c r="F71" s="12" t="str">
        <x:v>Needs User Test</x:v>
      </x:c>
      <x:c r="G71" s="12" t="str">
        <x:v>P0</x:v>
      </x:c>
      <x:c r="H71" s="12" t="str">
        <x:v>320px; 390px; long content; landscape</x:v>
      </x:c>
      <x:c r="I71" s="12" t="str">
        <x:v>SRC-14</x:v>
      </x:c>
      <x:c r="J71" s="12" t="str">
        <x:v>Not Tested</x:v>
      </x:c>
      <x:c r="K71" s="12" t="str"/>
      <x:c r="L71" s="12" t="str"/>
      <x:c r="M71" s="12" t="str"/>
    </x:row>
    <x:row r="72">
      <x:c r="A72" s="12" t="str">
        <x:v>FT-071</x:v>
      </x:c>
      <x:c r="B72" s="12" t="str">
        <x:v>Wedding Gift</x:v>
      </x:c>
      <x:c r="C72" s="12" t="str">
        <x:v>Duplicate/Delete/Undo</x:v>
      </x:c>
      <x:c r="D72" s="12" t="str">
        <x:v>Delete can be undone; repeated creation does not create broken IDs/state.</x:v>
      </x:c>
      <x:c r="E72" s="12" t="str">
        <x:v>Undo/redo exists; feature duplicate action not explicit.</x:v>
      </x:c>
      <x:c r="F72" s="12" t="str">
        <x:v>Partial</x:v>
      </x:c>
      <x:c r="G72" s="12" t="str">
        <x:v>P1</x:v>
      </x:c>
      <x:c r="H72" s="12" t="str">
        <x:v>delete then undo; duplicate 10x; autosave during undo</x:v>
      </x:c>
      <x:c r="I72" s="12" t="str">
        <x:v>SRC-02,SRC-03,SRC-04</x:v>
      </x:c>
      <x:c r="J72" s="12" t="str">
        <x:v>Not Tested</x:v>
      </x:c>
      <x:c r="K72" s="12" t="str"/>
      <x:c r="L72" s="12" t="str"/>
      <x:c r="M72" s="12" t="str"/>
    </x:row>
    <x:row r="73">
      <x:c r="A73" s="12" t="str">
        <x:v>FT-072</x:v>
      </x:c>
      <x:c r="B73" s="12" t="str">
        <x:v>Wedding Gift</x:v>
      </x:c>
      <x:c r="C73" s="12" t="str">
        <x:v>Preview Parity</x:v>
      </x:c>
      <x:c r="D73" s="12" t="str">
        <x:v>Editor → full Preview → published site should be visually consistent.</x:v>
      </x:c>
      <x:c r="E73" s="12" t="str">
        <x:v>Feature wrapper uses same core renderer for many cases; special Buka Undangan/Sound paths differ.</x:v>
      </x:c>
      <x:c r="F73" s="12" t="str">
        <x:v>Partial</x:v>
      </x:c>
      <x:c r="G73" s="12" t="str">
        <x:v>P0</x:v>
      </x:c>
      <x:c r="H73" s="12" t="str">
        <x:v>unsaved autosave state; revision restore; template mode vs site mode</x:v>
      </x:c>
      <x:c r="I73" s="12" t="str">
        <x:v>SRC-12,SRC-13</x:v>
      </x:c>
      <x:c r="J73" s="12" t="str">
        <x:v>Not Tested</x:v>
      </x:c>
      <x:c r="K73" s="12" t="str"/>
      <x:c r="L73" s="12" t="str"/>
      <x:c r="M73" s="12" t="str"/>
    </x:row>
    <x:row r="74">
      <x:c r="A74" s="12" t="str">
        <x:v>FT-073</x:v>
      </x:c>
      <x:c r="B74" s="12" t="str">
        <x:v>Buka Undangan</x:v>
      </x:c>
      <x:c r="C74" s="12" t="str">
        <x:v>Create/Add</x:v>
      </x:c>
      <x:c r="D74" s="12" t="str">
        <x:v>Click and drag both create feature in intended active column; selection moves to new feature.</x:v>
      </x:c>
      <x:c r="E74" s="12" t="str">
        <x:v>Generic addFeature supports click/drag.</x:v>
      </x:c>
      <x:c r="F74" s="12" t="str">
        <x:v>Meets</x:v>
      </x:c>
      <x:c r="G74" s="12" t="str">
        <x:v>P0</x:v>
      </x:c>
      <x:c r="H74" s="12" t="str">
        <x:v>No active column; fixed layout; first/last canvas</x:v>
      </x:c>
      <x:c r="I74" s="12" t="str">
        <x:v>SRC-02,SRC-03,SRC-04</x:v>
      </x:c>
      <x:c r="J74" s="12" t="str">
        <x:v>Not Tested</x:v>
      </x:c>
      <x:c r="K74" s="12" t="str"/>
      <x:c r="L74" s="12" t="str"/>
      <x:c r="M74" s="12" t="str"/>
    </x:row>
    <x:row r="75">
      <x:c r="A75" s="12" t="str">
        <x:v>FT-074</x:v>
      </x:c>
      <x:c r="B75" s="12" t="str">
        <x:v>Buka Undangan</x:v>
      </x:c>
      <x:c r="C75" s="12" t="str">
        <x:v>Gradient</x:v>
      </x:c>
      <x:c r="D75" s="12" t="str">
        <x:v>Gradient on/off, colors and angle must visibly match editor, preview and published result.</x:v>
      </x:c>
      <x:c r="E75" s="12" t="str">
        <x:v>Feature gradient does not drive public InvitationCover surface; editor cover has hard-coded dark background</x:v>
      </x:c>
      <x:c r="F75" s="12" t="str">
        <x:v>Fail</x:v>
      </x:c>
      <x:c r="G75" s="12" t="str">
        <x:v>P0</x:v>
      </x:c>
      <x:c r="H75" s="12" t="str">
        <x:v>0°, 90°, 180°, 360°; same color; high contrast; transparent-like color</x:v>
      </x:c>
      <x:c r="I75" s="12" t="str">
        <x:v>SRC-03</x:v>
      </x:c>
      <x:c r="J75" s="12" t="str">
        <x:v>Not Tested</x:v>
      </x:c>
      <x:c r="K75" s="12" t="str"/>
      <x:c r="L75" s="12" t="str"/>
      <x:c r="M75" s="12" t="str"/>
    </x:row>
    <x:row r="76">
      <x:c r="A76" s="12" t="str">
        <x:v>FT-075</x:v>
      </x:c>
      <x:c r="B76" s="12" t="str">
        <x:v>Buka Undangan</x:v>
      </x:c>
      <x:c r="C76" s="12" t="str">
        <x:v>Feature Alignment</x:v>
      </x:c>
      <x:c r="D76" s="12" t="str">
        <x:v>Selected feature/card can align Left/Center/Right within its column/container; text alignment is separate.</x:v>
      </x:c>
      <x:c r="E76" s="12" t="str">
        <x:v>Text align only; icon/button layout remains centered</x:v>
      </x:c>
      <x:c r="F76" s="12" t="str">
        <x:v>Gap</x:v>
      </x:c>
      <x:c r="G76" s="12" t="str">
        <x:v>P0</x:v>
      </x:c>
      <x:c r="H76" s="12" t="str">
        <x:v>narrow mobile; full-width; 1–4 columns</x:v>
      </x:c>
      <x:c r="I76" s="12" t="str">
        <x:v>SRC-02,SRC-10,SRC-11</x:v>
      </x:c>
      <x:c r="J76" s="12" t="str">
        <x:v>Not Tested</x:v>
      </x:c>
      <x:c r="K76" s="12" t="str"/>
      <x:c r="L76" s="12" t="str"/>
      <x:c r="M76" s="12" t="str"/>
    </x:row>
    <x:row r="77">
      <x:c r="A77" s="12" t="str">
        <x:v>FT-076</x:v>
      </x:c>
      <x:c r="B77" s="12" t="str">
        <x:v>Buka Undangan</x:v>
      </x:c>
      <x:c r="C77" s="12" t="str">
        <x:v>Box / Radius</x:v>
      </x:c>
      <x:c r="D77" s="12" t="str">
        <x:v>Radius, padding and margin should affect the intended visible surface, not an invisible wrapper.</x:v>
      </x:c>
      <x:c r="E77" s="12" t="str">
        <x:v>Text/background image + generic effects</x:v>
      </x:c>
      <x:c r="F77" s="12" t="str">
        <x:v>Partial</x:v>
      </x:c>
      <x:c r="G77" s="12" t="str">
        <x:v>P1</x:v>
      </x:c>
      <x:c r="H77" s="12" t="str">
        <x:v>radius 0 / 80; padding 0 / 80</x:v>
      </x:c>
      <x:c r="I77" s="12" t="str">
        <x:v>SRC-02,SRC-03,SRC-04</x:v>
      </x:c>
      <x:c r="J77" s="12" t="str">
        <x:v>Not Tested</x:v>
      </x:c>
      <x:c r="K77" s="12" t="str"/>
      <x:c r="L77" s="12" t="str"/>
      <x:c r="M77" s="12" t="str"/>
    </x:row>
    <x:row r="78">
      <x:c r="A78" s="12" t="str">
        <x:v>FT-077</x:v>
      </x:c>
      <x:c r="B78" s="12" t="str">
        <x:v>Buka Undangan</x:v>
      </x:c>
      <x:c r="C78" s="12" t="str">
        <x:v>Animation</x:v>
      </x:c>
      <x:c r="D78" s="12" t="str">
        <x:v>Entrance/transition/effect should replay reliably and match public preview.</x:v>
      </x:c>
      <x:c r="E78" s="12" t="str">
        <x:v>Text/background image + generic effects</x:v>
      </x:c>
      <x:c r="F78" s="12" t="str">
        <x:v>Partial</x:v>
      </x:c>
      <x:c r="G78" s="12" t="str">
        <x:v>P1</x:v>
      </x:c>
      <x:c r="H78" s="12" t="str">
        <x:v>None; extreme intensity; repeated preview; reduced-motion</x:v>
      </x:c>
      <x:c r="I78" s="12" t="str">
        <x:v>SRC-04,SRC-07</x:v>
      </x:c>
      <x:c r="J78" s="12" t="str">
        <x:v>Not Tested</x:v>
      </x:c>
      <x:c r="K78" s="12" t="str"/>
      <x:c r="L78" s="12" t="str"/>
      <x:c r="M78" s="12" t="str"/>
    </x:row>
    <x:row r="79">
      <x:c r="A79" s="12" t="str">
        <x:v>FT-078</x:v>
      </x:c>
      <x:c r="B79" s="12" t="str">
        <x:v>Buka Undangan</x:v>
      </x:c>
      <x:c r="C79" s="12" t="str">
        <x:v>Responsive</x:v>
      </x:c>
      <x:c r="D79" s="12" t="str">
        <x:v>Feature remains usable and readable on mobile/desktop with no overflow.</x:v>
      </x:c>
      <x:c r="E79" s="12" t="str">
        <x:v>Requires human/device testing.</x:v>
      </x:c>
      <x:c r="F79" s="12" t="str">
        <x:v>Needs User Test</x:v>
      </x:c>
      <x:c r="G79" s="12" t="str">
        <x:v>P0</x:v>
      </x:c>
      <x:c r="H79" s="12" t="str">
        <x:v>320px; 390px; long content; landscape</x:v>
      </x:c>
      <x:c r="I79" s="12" t="str">
        <x:v>SRC-14</x:v>
      </x:c>
      <x:c r="J79" s="12" t="str">
        <x:v>Not Tested</x:v>
      </x:c>
      <x:c r="K79" s="12" t="str"/>
      <x:c r="L79" s="12" t="str"/>
      <x:c r="M79" s="12" t="str"/>
    </x:row>
    <x:row r="80">
      <x:c r="A80" s="12" t="str">
        <x:v>FT-079</x:v>
      </x:c>
      <x:c r="B80" s="12" t="str">
        <x:v>Buka Undangan</x:v>
      </x:c>
      <x:c r="C80" s="12" t="str">
        <x:v>Duplicate/Delete/Undo</x:v>
      </x:c>
      <x:c r="D80" s="12" t="str">
        <x:v>Delete can be undone; repeated creation does not create broken IDs/state.</x:v>
      </x:c>
      <x:c r="E80" s="12" t="str">
        <x:v>Undo/redo exists; feature duplicate action not explicit.</x:v>
      </x:c>
      <x:c r="F80" s="12" t="str">
        <x:v>Partial</x:v>
      </x:c>
      <x:c r="G80" s="12" t="str">
        <x:v>P1</x:v>
      </x:c>
      <x:c r="H80" s="12" t="str">
        <x:v>delete then undo; duplicate 10x; autosave during undo</x:v>
      </x:c>
      <x:c r="I80" s="12" t="str">
        <x:v>SRC-02,SRC-03,SRC-04</x:v>
      </x:c>
      <x:c r="J80" s="12" t="str">
        <x:v>Not Tested</x:v>
      </x:c>
      <x:c r="K80" s="12" t="str"/>
      <x:c r="L80" s="12" t="str"/>
      <x:c r="M80" s="12" t="str"/>
    </x:row>
    <x:row r="81">
      <x:c r="A81" s="12" t="str">
        <x:v>FT-080</x:v>
      </x:c>
      <x:c r="B81" s="12" t="str">
        <x:v>Buka Undangan</x:v>
      </x:c>
      <x:c r="C81" s="12" t="str">
        <x:v>Preview Parity</x:v>
      </x:c>
      <x:c r="D81" s="12" t="str">
        <x:v>Editor → full Preview → published site should be visually consistent.</x:v>
      </x:c>
      <x:c r="E81" s="12" t="str">
        <x:v>Feature wrapper uses same core renderer for many cases; special Buka Undangan/Sound paths differ.</x:v>
      </x:c>
      <x:c r="F81" s="12" t="str">
        <x:v>Partial</x:v>
      </x:c>
      <x:c r="G81" s="12" t="str">
        <x:v>P0</x:v>
      </x:c>
      <x:c r="H81" s="12" t="str">
        <x:v>unsaved autosave state; revision restore; template mode vs site mode</x:v>
      </x:c>
      <x:c r="I81" s="12" t="str">
        <x:v>SRC-12,SRC-13</x:v>
      </x:c>
      <x:c r="J81" s="12" t="str">
        <x:v>Not Tested</x:v>
      </x:c>
      <x:c r="K81" s="12" t="str"/>
      <x:c r="L81" s="12" t="str"/>
      <x:c r="M81" s="12" t="str"/>
    </x:row>
    <x:row r="82">
      <x:c r="A82" s="12" t="str">
        <x:v>FT-081</x:v>
      </x:c>
      <x:c r="B82" s="12" t="str">
        <x:v>Countdown</x:v>
      </x:c>
      <x:c r="C82" s="12" t="str">
        <x:v>Create/Add</x:v>
      </x:c>
      <x:c r="D82" s="12" t="str">
        <x:v>Click and drag both create feature in intended active column; selection moves to new feature.</x:v>
      </x:c>
      <x:c r="E82" s="12" t="str">
        <x:v>Generic addFeature supports click/drag.</x:v>
      </x:c>
      <x:c r="F82" s="12" t="str">
        <x:v>Meets</x:v>
      </x:c>
      <x:c r="G82" s="12" t="str">
        <x:v>P0</x:v>
      </x:c>
      <x:c r="H82" s="12" t="str">
        <x:v>No active column; fixed layout; first/last canvas</x:v>
      </x:c>
      <x:c r="I82" s="12" t="str">
        <x:v>SRC-02,SRC-03,SRC-04</x:v>
      </x:c>
      <x:c r="J82" s="12" t="str">
        <x:v>Not Tested</x:v>
      </x:c>
      <x:c r="K82" s="12" t="str"/>
      <x:c r="L82" s="12" t="str"/>
      <x:c r="M82" s="12" t="str"/>
    </x:row>
    <x:row r="83">
      <x:c r="A83" s="12" t="str">
        <x:v>FT-082</x:v>
      </x:c>
      <x:c r="B83" s="12" t="str">
        <x:v>Countdown</x:v>
      </x:c>
      <x:c r="C83" s="12" t="str">
        <x:v>Gradient</x:v>
      </x:c>
      <x:c r="D83" s="12" t="str">
        <x:v>Gradient on/off, colors and angle must visibly match editor, preview and published result.</x:v>
      </x:c>
      <x:c r="E83" s="12" t="str">
        <x:v>Gradient visible</x:v>
      </x:c>
      <x:c r="F83" s="12" t="str">
        <x:v>Meets</x:v>
      </x:c>
      <x:c r="G83" s="12" t="str">
        <x:v>P0</x:v>
      </x:c>
      <x:c r="H83" s="12" t="str">
        <x:v>0°, 90°, 180°, 360°; same color; high contrast; transparent-like color</x:v>
      </x:c>
      <x:c r="I83" s="12" t="str">
        <x:v>SRC-03</x:v>
      </x:c>
      <x:c r="J83" s="12" t="str">
        <x:v>Not Tested</x:v>
      </x:c>
      <x:c r="K83" s="12" t="str"/>
      <x:c r="L83" s="12" t="str"/>
      <x:c r="M83" s="12" t="str"/>
    </x:row>
    <x:row r="84">
      <x:c r="A84" s="12" t="str">
        <x:v>FT-083</x:v>
      </x:c>
      <x:c r="B84" s="12" t="str">
        <x:v>Countdown</x:v>
      </x:c>
      <x:c r="C84" s="12" t="str">
        <x:v>Feature Alignment</x:v>
      </x:c>
      <x:c r="D84" s="12" t="str">
        <x:v>Selected feature/card can align Left/Center/Right within its column/container; text alignment is separate.</x:v>
      </x:c>
      <x:c r="E84" s="12" t="str">
        <x:v>Text align exists; no feature-block position</x:v>
      </x:c>
      <x:c r="F84" s="12" t="str">
        <x:v>Gap</x:v>
      </x:c>
      <x:c r="G84" s="12" t="str">
        <x:v>P0</x:v>
      </x:c>
      <x:c r="H84" s="12" t="str">
        <x:v>narrow mobile; full-width; 1–4 columns</x:v>
      </x:c>
      <x:c r="I84" s="12" t="str">
        <x:v>SRC-02,SRC-10,SRC-11</x:v>
      </x:c>
      <x:c r="J84" s="12" t="str">
        <x:v>Not Tested</x:v>
      </x:c>
      <x:c r="K84" s="12" t="str"/>
      <x:c r="L84" s="12" t="str"/>
      <x:c r="M84" s="12" t="str"/>
    </x:row>
    <x:row r="85">
      <x:c r="A85" s="12" t="str">
        <x:v>FT-084</x:v>
      </x:c>
      <x:c r="B85" s="12" t="str">
        <x:v>Countdown</x:v>
      </x:c>
      <x:c r="C85" s="12" t="str">
        <x:v>Box / Radius</x:v>
      </x:c>
      <x:c r="D85" s="12" t="str">
        <x:v>Radius, padding and margin should affect the intended visible surface, not an invisible wrapper.</x:v>
      </x:c>
      <x:c r="E85" s="12" t="str">
        <x:v>Date + style + animation</x:v>
      </x:c>
      <x:c r="F85" s="12" t="str">
        <x:v>Partial</x:v>
      </x:c>
      <x:c r="G85" s="12" t="str">
        <x:v>P1</x:v>
      </x:c>
      <x:c r="H85" s="12" t="str">
        <x:v>radius 0 / 80; padding 0 / 80</x:v>
      </x:c>
      <x:c r="I85" s="12" t="str">
        <x:v>SRC-02,SRC-03,SRC-04</x:v>
      </x:c>
      <x:c r="J85" s="12" t="str">
        <x:v>Not Tested</x:v>
      </x:c>
      <x:c r="K85" s="12" t="str"/>
      <x:c r="L85" s="12" t="str"/>
      <x:c r="M85" s="12" t="str"/>
    </x:row>
    <x:row r="86">
      <x:c r="A86" s="12" t="str">
        <x:v>FT-085</x:v>
      </x:c>
      <x:c r="B86" s="12" t="str">
        <x:v>Countdown</x:v>
      </x:c>
      <x:c r="C86" s="12" t="str">
        <x:v>Animation</x:v>
      </x:c>
      <x:c r="D86" s="12" t="str">
        <x:v>Entrance/transition/effect should replay reliably and match public preview.</x:v>
      </x:c>
      <x:c r="E86" s="12" t="str">
        <x:v>Date + style + animation</x:v>
      </x:c>
      <x:c r="F86" s="12" t="str">
        <x:v>Partial</x:v>
      </x:c>
      <x:c r="G86" s="12" t="str">
        <x:v>P1</x:v>
      </x:c>
      <x:c r="H86" s="12" t="str">
        <x:v>None; extreme intensity; repeated preview; reduced-motion</x:v>
      </x:c>
      <x:c r="I86" s="12" t="str">
        <x:v>SRC-04,SRC-07</x:v>
      </x:c>
      <x:c r="J86" s="12" t="str">
        <x:v>Not Tested</x:v>
      </x:c>
      <x:c r="K86" s="12" t="str"/>
      <x:c r="L86" s="12" t="str"/>
      <x:c r="M86" s="12" t="str"/>
    </x:row>
    <x:row r="87">
      <x:c r="A87" s="12" t="str">
        <x:v>FT-086</x:v>
      </x:c>
      <x:c r="B87" s="12" t="str">
        <x:v>Countdown</x:v>
      </x:c>
      <x:c r="C87" s="12" t="str">
        <x:v>Responsive</x:v>
      </x:c>
      <x:c r="D87" s="12" t="str">
        <x:v>Feature remains usable and readable on mobile/desktop with no overflow.</x:v>
      </x:c>
      <x:c r="E87" s="12" t="str">
        <x:v>Requires human/device testing.</x:v>
      </x:c>
      <x:c r="F87" s="12" t="str">
        <x:v>Needs User Test</x:v>
      </x:c>
      <x:c r="G87" s="12" t="str">
        <x:v>P0</x:v>
      </x:c>
      <x:c r="H87" s="12" t="str">
        <x:v>320px; 390px; long content; landscape</x:v>
      </x:c>
      <x:c r="I87" s="12" t="str">
        <x:v>SRC-14</x:v>
      </x:c>
      <x:c r="J87" s="12" t="str">
        <x:v>Not Tested</x:v>
      </x:c>
      <x:c r="K87" s="12" t="str"/>
      <x:c r="L87" s="12" t="str"/>
      <x:c r="M87" s="12" t="str"/>
    </x:row>
    <x:row r="88">
      <x:c r="A88" s="12" t="str">
        <x:v>FT-087</x:v>
      </x:c>
      <x:c r="B88" s="12" t="str">
        <x:v>Countdown</x:v>
      </x:c>
      <x:c r="C88" s="12" t="str">
        <x:v>Duplicate/Delete/Undo</x:v>
      </x:c>
      <x:c r="D88" s="12" t="str">
        <x:v>Delete can be undone; repeated creation does not create broken IDs/state.</x:v>
      </x:c>
      <x:c r="E88" s="12" t="str">
        <x:v>Undo/redo exists; feature duplicate action not explicit.</x:v>
      </x:c>
      <x:c r="F88" s="12" t="str">
        <x:v>Partial</x:v>
      </x:c>
      <x:c r="G88" s="12" t="str">
        <x:v>P1</x:v>
      </x:c>
      <x:c r="H88" s="12" t="str">
        <x:v>delete then undo; duplicate 10x; autosave during undo</x:v>
      </x:c>
      <x:c r="I88" s="12" t="str">
        <x:v>SRC-02,SRC-03,SRC-04</x:v>
      </x:c>
      <x:c r="J88" s="12" t="str">
        <x:v>Not Tested</x:v>
      </x:c>
      <x:c r="K88" s="12" t="str"/>
      <x:c r="L88" s="12" t="str"/>
      <x:c r="M88" s="12" t="str"/>
    </x:row>
    <x:row r="89">
      <x:c r="A89" s="12" t="str">
        <x:v>FT-088</x:v>
      </x:c>
      <x:c r="B89" s="12" t="str">
        <x:v>Countdown</x:v>
      </x:c>
      <x:c r="C89" s="12" t="str">
        <x:v>Preview Parity</x:v>
      </x:c>
      <x:c r="D89" s="12" t="str">
        <x:v>Editor → full Preview → published site should be visually consistent.</x:v>
      </x:c>
      <x:c r="E89" s="12" t="str">
        <x:v>Feature wrapper uses same core renderer for many cases; special Buka Undangan/Sound paths differ.</x:v>
      </x:c>
      <x:c r="F89" s="12" t="str">
        <x:v>Partial</x:v>
      </x:c>
      <x:c r="G89" s="12" t="str">
        <x:v>P0</x:v>
      </x:c>
      <x:c r="H89" s="12" t="str">
        <x:v>unsaved autosave state; revision restore; template mode vs site mode</x:v>
      </x:c>
      <x:c r="I89" s="12" t="str">
        <x:v>SRC-12,SRC-13</x:v>
      </x:c>
      <x:c r="J89" s="12" t="str">
        <x:v>Not Tested</x:v>
      </x:c>
      <x:c r="K89" s="12" t="str"/>
      <x:c r="L89" s="12" t="str"/>
      <x:c r="M89" s="12" t="str"/>
    </x:row>
    <x:row r="90">
      <x:c r="A90" s="12" t="str">
        <x:v>FT-089</x:v>
      </x:c>
      <x:c r="B90" s="12" t="str">
        <x:v>Location</x:v>
      </x:c>
      <x:c r="C90" s="12" t="str">
        <x:v>Create/Add</x:v>
      </x:c>
      <x:c r="D90" s="12" t="str">
        <x:v>Click and drag both create feature in intended active column; selection moves to new feature.</x:v>
      </x:c>
      <x:c r="E90" s="12" t="str">
        <x:v>Generic addFeature supports click/drag.</x:v>
      </x:c>
      <x:c r="F90" s="12" t="str">
        <x:v>Meets</x:v>
      </x:c>
      <x:c r="G90" s="12" t="str">
        <x:v>P0</x:v>
      </x:c>
      <x:c r="H90" s="12" t="str">
        <x:v>No active column; fixed layout; first/last canvas</x:v>
      </x:c>
      <x:c r="I90" s="12" t="str">
        <x:v>SRC-02,SRC-03,SRC-04</x:v>
      </x:c>
      <x:c r="J90" s="12" t="str">
        <x:v>Not Tested</x:v>
      </x:c>
      <x:c r="K90" s="12" t="str"/>
      <x:c r="L90" s="12" t="str"/>
      <x:c r="M90" s="12" t="str"/>
    </x:row>
    <x:row r="91">
      <x:c r="A91" s="12" t="str">
        <x:v>FT-090</x:v>
      </x:c>
      <x:c r="B91" s="12" t="str">
        <x:v>Location</x:v>
      </x:c>
      <x:c r="C91" s="12" t="str">
        <x:v>Gradient</x:v>
      </x:c>
      <x:c r="D91" s="12" t="str">
        <x:v>Gradient on/off, colors and angle must visibly match editor, preview and published result.</x:v>
      </x:c>
      <x:c r="E91" s="12" t="str">
        <x:v>Gradient visible</x:v>
      </x:c>
      <x:c r="F91" s="12" t="str">
        <x:v>Meets</x:v>
      </x:c>
      <x:c r="G91" s="12" t="str">
        <x:v>P0</x:v>
      </x:c>
      <x:c r="H91" s="12" t="str">
        <x:v>0°, 90°, 180°, 360°; same color; high contrast; transparent-like color</x:v>
      </x:c>
      <x:c r="I91" s="12" t="str">
        <x:v>SRC-03</x:v>
      </x:c>
      <x:c r="J91" s="12" t="str">
        <x:v>Not Tested</x:v>
      </x:c>
      <x:c r="K91" s="12" t="str"/>
      <x:c r="L91" s="12" t="str"/>
      <x:c r="M91" s="12" t="str"/>
    </x:row>
    <x:row r="92">
      <x:c r="A92" s="12" t="str">
        <x:v>FT-091</x:v>
      </x:c>
      <x:c r="B92" s="12" t="str">
        <x:v>Location</x:v>
      </x:c>
      <x:c r="C92" s="12" t="str">
        <x:v>Feature Alignment</x:v>
      </x:c>
      <x:c r="D92" s="12" t="str">
        <x:v>Selected feature/card can align Left/Center/Right within its column/container; text alignment is separate.</x:v>
      </x:c>
      <x:c r="E92" s="12" t="str">
        <x:v>Text align exists; no feature-block position</x:v>
      </x:c>
      <x:c r="F92" s="12" t="str">
        <x:v>Gap</x:v>
      </x:c>
      <x:c r="G92" s="12" t="str">
        <x:v>P0</x:v>
      </x:c>
      <x:c r="H92" s="12" t="str">
        <x:v>narrow mobile; full-width; 1–4 columns</x:v>
      </x:c>
      <x:c r="I92" s="12" t="str">
        <x:v>SRC-02,SRC-10,SRC-11</x:v>
      </x:c>
      <x:c r="J92" s="12" t="str">
        <x:v>Not Tested</x:v>
      </x:c>
      <x:c r="K92" s="12" t="str"/>
      <x:c r="L92" s="12" t="str"/>
      <x:c r="M92" s="12" t="str"/>
    </x:row>
    <x:row r="93">
      <x:c r="A93" s="12" t="str">
        <x:v>FT-092</x:v>
      </x:c>
      <x:c r="B93" s="12" t="str">
        <x:v>Location</x:v>
      </x:c>
      <x:c r="C93" s="12" t="str">
        <x:v>Box / Radius</x:v>
      </x:c>
      <x:c r="D93" s="12" t="str">
        <x:v>Radius, padding and margin should affect the intended visible surface, not an invisible wrapper.</x:v>
      </x:c>
      <x:c r="E93" s="12" t="str">
        <x:v>Location/address/maps + style</x:v>
      </x:c>
      <x:c r="F93" s="12" t="str">
        <x:v>Partial</x:v>
      </x:c>
      <x:c r="G93" s="12" t="str">
        <x:v>P1</x:v>
      </x:c>
      <x:c r="H93" s="12" t="str">
        <x:v>radius 0 / 80; padding 0 / 80</x:v>
      </x:c>
      <x:c r="I93" s="12" t="str">
        <x:v>SRC-02,SRC-03,SRC-04</x:v>
      </x:c>
      <x:c r="J93" s="12" t="str">
        <x:v>Not Tested</x:v>
      </x:c>
      <x:c r="K93" s="12" t="str"/>
      <x:c r="L93" s="12" t="str"/>
      <x:c r="M93" s="12" t="str"/>
    </x:row>
    <x:row r="94">
      <x:c r="A94" s="12" t="str">
        <x:v>FT-093</x:v>
      </x:c>
      <x:c r="B94" s="12" t="str">
        <x:v>Location</x:v>
      </x:c>
      <x:c r="C94" s="12" t="str">
        <x:v>Animation</x:v>
      </x:c>
      <x:c r="D94" s="12" t="str">
        <x:v>Entrance/transition/effect should replay reliably and match public preview.</x:v>
      </x:c>
      <x:c r="E94" s="12" t="str">
        <x:v>Location/address/maps + style</x:v>
      </x:c>
      <x:c r="F94" s="12" t="str">
        <x:v>Partial</x:v>
      </x:c>
      <x:c r="G94" s="12" t="str">
        <x:v>P1</x:v>
      </x:c>
      <x:c r="H94" s="12" t="str">
        <x:v>None; extreme intensity; repeated preview; reduced-motion</x:v>
      </x:c>
      <x:c r="I94" s="12" t="str">
        <x:v>SRC-04,SRC-07</x:v>
      </x:c>
      <x:c r="J94" s="12" t="str">
        <x:v>Not Tested</x:v>
      </x:c>
      <x:c r="K94" s="12" t="str"/>
      <x:c r="L94" s="12" t="str"/>
      <x:c r="M94" s="12" t="str"/>
    </x:row>
    <x:row r="95">
      <x:c r="A95" s="12" t="str">
        <x:v>FT-094</x:v>
      </x:c>
      <x:c r="B95" s="12" t="str">
        <x:v>Location</x:v>
      </x:c>
      <x:c r="C95" s="12" t="str">
        <x:v>Responsive</x:v>
      </x:c>
      <x:c r="D95" s="12" t="str">
        <x:v>Feature remains usable and readable on mobile/desktop with no overflow.</x:v>
      </x:c>
      <x:c r="E95" s="12" t="str">
        <x:v>Requires human/device testing.</x:v>
      </x:c>
      <x:c r="F95" s="12" t="str">
        <x:v>Needs User Test</x:v>
      </x:c>
      <x:c r="G95" s="12" t="str">
        <x:v>P0</x:v>
      </x:c>
      <x:c r="H95" s="12" t="str">
        <x:v>320px; 390px; long content; landscape</x:v>
      </x:c>
      <x:c r="I95" s="12" t="str">
        <x:v>SRC-14</x:v>
      </x:c>
      <x:c r="J95" s="12" t="str">
        <x:v>Not Tested</x:v>
      </x:c>
      <x:c r="K95" s="12" t="str"/>
      <x:c r="L95" s="12" t="str"/>
      <x:c r="M95" s="12" t="str"/>
    </x:row>
    <x:row r="96">
      <x:c r="A96" s="12" t="str">
        <x:v>FT-095</x:v>
      </x:c>
      <x:c r="B96" s="12" t="str">
        <x:v>Location</x:v>
      </x:c>
      <x:c r="C96" s="12" t="str">
        <x:v>Duplicate/Delete/Undo</x:v>
      </x:c>
      <x:c r="D96" s="12" t="str">
        <x:v>Delete can be undone; repeated creation does not create broken IDs/state.</x:v>
      </x:c>
      <x:c r="E96" s="12" t="str">
        <x:v>Undo/redo exists; feature duplicate action not explicit.</x:v>
      </x:c>
      <x:c r="F96" s="12" t="str">
        <x:v>Partial</x:v>
      </x:c>
      <x:c r="G96" s="12" t="str">
        <x:v>P1</x:v>
      </x:c>
      <x:c r="H96" s="12" t="str">
        <x:v>delete then undo; duplicate 10x; autosave during undo</x:v>
      </x:c>
      <x:c r="I96" s="12" t="str">
        <x:v>SRC-02,SRC-03,SRC-04</x:v>
      </x:c>
      <x:c r="J96" s="12" t="str">
        <x:v>Not Tested</x:v>
      </x:c>
      <x:c r="K96" s="12" t="str"/>
      <x:c r="L96" s="12" t="str"/>
      <x:c r="M96" s="12" t="str"/>
    </x:row>
    <x:row r="97">
      <x:c r="A97" s="12" t="str">
        <x:v>FT-096</x:v>
      </x:c>
      <x:c r="B97" s="12" t="str">
        <x:v>Location</x:v>
      </x:c>
      <x:c r="C97" s="12" t="str">
        <x:v>Preview Parity</x:v>
      </x:c>
      <x:c r="D97" s="12" t="str">
        <x:v>Editor → full Preview → published site should be visually consistent.</x:v>
      </x:c>
      <x:c r="E97" s="12" t="str">
        <x:v>Feature wrapper uses same core renderer for many cases; special Buka Undangan/Sound paths differ.</x:v>
      </x:c>
      <x:c r="F97" s="12" t="str">
        <x:v>Partial</x:v>
      </x:c>
      <x:c r="G97" s="12" t="str">
        <x:v>P0</x:v>
      </x:c>
      <x:c r="H97" s="12" t="str">
        <x:v>unsaved autosave state; revision restore; template mode vs site mode</x:v>
      </x:c>
      <x:c r="I97" s="12" t="str">
        <x:v>SRC-12,SRC-13</x:v>
      </x:c>
      <x:c r="J97" s="12" t="str">
        <x:v>Not Tested</x:v>
      </x:c>
      <x:c r="K97" s="12" t="str"/>
      <x:c r="L97" s="12" t="str"/>
      <x:c r="M97" s="12" t="str"/>
    </x:row>
    <x:row r="98">
      <x:c r="A98" s="12" t="str">
        <x:v>FT-097</x:v>
      </x:c>
      <x:c r="B98" s="12" t="str">
        <x:v>Sound</x:v>
      </x:c>
      <x:c r="C98" s="12" t="str">
        <x:v>Create/Add</x:v>
      </x:c>
      <x:c r="D98" s="12" t="str">
        <x:v>Click and drag both create feature in intended active column; selection moves to new feature.</x:v>
      </x:c>
      <x:c r="E98" s="12" t="str">
        <x:v>Generic addFeature supports click/drag.</x:v>
      </x:c>
      <x:c r="F98" s="12" t="str">
        <x:v>Meets</x:v>
      </x:c>
      <x:c r="G98" s="12" t="str">
        <x:v>P0</x:v>
      </x:c>
      <x:c r="H98" s="12" t="str">
        <x:v>No active column; fixed layout; first/last canvas</x:v>
      </x:c>
      <x:c r="I98" s="12" t="str">
        <x:v>SRC-02,SRC-03,SRC-04</x:v>
      </x:c>
      <x:c r="J98" s="12" t="str">
        <x:v>Not Tested</x:v>
      </x:c>
      <x:c r="K98" s="12" t="str"/>
      <x:c r="L98" s="12" t="str"/>
      <x:c r="M98" s="12" t="str"/>
    </x:row>
    <x:row r="99">
      <x:c r="A99" s="12" t="str">
        <x:v>FT-098</x:v>
      </x:c>
      <x:c r="B99" s="12" t="str">
        <x:v>Sound</x:v>
      </x:c>
      <x:c r="C99" s="12" t="str">
        <x:v>Gradient</x:v>
      </x:c>
      <x:c r="D99" s="12" t="str">
        <x:v>Gradient on/off, colors and angle must visibly match editor, preview and published result.</x:v>
      </x:c>
      <x:c r="E99" s="12" t="str">
        <x:v>Public fixed player ignores feature wrapper gradient</x:v>
      </x:c>
      <x:c r="F99" s="12" t="str">
        <x:v>Fail</x:v>
      </x:c>
      <x:c r="G99" s="12" t="str">
        <x:v>P0</x:v>
      </x:c>
      <x:c r="H99" s="12" t="str">
        <x:v>0°, 90°, 180°, 360°; same color; high contrast; transparent-like color</x:v>
      </x:c>
      <x:c r="I99" s="12" t="str">
        <x:v>SRC-03</x:v>
      </x:c>
      <x:c r="J99" s="12" t="str">
        <x:v>Not Tested</x:v>
      </x:c>
      <x:c r="K99" s="12" t="str"/>
      <x:c r="L99" s="12" t="str"/>
      <x:c r="M99" s="12" t="str"/>
    </x:row>
    <x:row r="100">
      <x:c r="A100" s="12" t="str">
        <x:v>FT-099</x:v>
      </x:c>
      <x:c r="B100" s="12" t="str">
        <x:v>Sound</x:v>
      </x:c>
      <x:c r="C100" s="12" t="str">
        <x:v>Feature Alignment</x:v>
      </x:c>
      <x:c r="D100" s="12" t="str">
        <x:v>Selected feature/card can align Left/Center/Right within its column/container; text alignment is separate.</x:v>
      </x:c>
      <x:c r="E100" s="12" t="str">
        <x:v>No meaningful feature alignment for public fixed player</x:v>
      </x:c>
      <x:c r="F100" s="12" t="str">
        <x:v>Gap</x:v>
      </x:c>
      <x:c r="G100" s="12" t="str">
        <x:v>P0</x:v>
      </x:c>
      <x:c r="H100" s="12" t="str">
        <x:v>narrow mobile; full-width; 1–4 columns</x:v>
      </x:c>
      <x:c r="I100" s="12" t="str">
        <x:v>SRC-02,SRC-10,SRC-11</x:v>
      </x:c>
      <x:c r="J100" s="12" t="str">
        <x:v>Not Tested</x:v>
      </x:c>
      <x:c r="K100" s="12" t="str"/>
      <x:c r="L100" s="12" t="str"/>
      <x:c r="M100" s="12" t="str"/>
    </x:row>
    <x:row r="101">
      <x:c r="A101" s="12" t="str">
        <x:v>FT-100</x:v>
      </x:c>
      <x:c r="B101" s="12" t="str">
        <x:v>Sound</x:v>
      </x:c>
      <x:c r="C101" s="12" t="str">
        <x:v>Box / Radius</x:v>
      </x:c>
      <x:c r="D101" s="12" t="str">
        <x:v>Radius, padding and margin should affect the intended visible surface, not an invisible wrapper.</x:v>
      </x:c>
      <x:c r="E101" s="12" t="str">
        <x:v>Upload/catalog/autoplay + fixed player</x:v>
      </x:c>
      <x:c r="F101" s="12" t="str">
        <x:v>Partial</x:v>
      </x:c>
      <x:c r="G101" s="12" t="str">
        <x:v>P1</x:v>
      </x:c>
      <x:c r="H101" s="12" t="str">
        <x:v>radius 0 / 80; padding 0 / 80</x:v>
      </x:c>
      <x:c r="I101" s="12" t="str">
        <x:v>SRC-02,SRC-03,SRC-04</x:v>
      </x:c>
      <x:c r="J101" s="12" t="str">
        <x:v>Not Tested</x:v>
      </x:c>
      <x:c r="K101" s="12" t="str"/>
      <x:c r="L101" s="12" t="str"/>
      <x:c r="M101" s="12" t="str"/>
    </x:row>
    <x:row r="102">
      <x:c r="A102" s="12" t="str">
        <x:v>FT-101</x:v>
      </x:c>
      <x:c r="B102" s="12" t="str">
        <x:v>Sound</x:v>
      </x:c>
      <x:c r="C102" s="12" t="str">
        <x:v>Animation</x:v>
      </x:c>
      <x:c r="D102" s="12" t="str">
        <x:v>Entrance/transition/effect should replay reliably and match public preview.</x:v>
      </x:c>
      <x:c r="E102" s="12" t="str">
        <x:v>Upload/catalog/autoplay + fixed player</x:v>
      </x:c>
      <x:c r="F102" s="12" t="str">
        <x:v>Partial</x:v>
      </x:c>
      <x:c r="G102" s="12" t="str">
        <x:v>P1</x:v>
      </x:c>
      <x:c r="H102" s="12" t="str">
        <x:v>None; extreme intensity; repeated preview; reduced-motion</x:v>
      </x:c>
      <x:c r="I102" s="12" t="str">
        <x:v>SRC-04,SRC-07</x:v>
      </x:c>
      <x:c r="J102" s="12" t="str">
        <x:v>Not Tested</x:v>
      </x:c>
      <x:c r="K102" s="12" t="str"/>
      <x:c r="L102" s="12" t="str"/>
      <x:c r="M102" s="12" t="str"/>
    </x:row>
    <x:row r="103">
      <x:c r="A103" s="12" t="str">
        <x:v>FT-102</x:v>
      </x:c>
      <x:c r="B103" s="12" t="str">
        <x:v>Sound</x:v>
      </x:c>
      <x:c r="C103" s="12" t="str">
        <x:v>Responsive</x:v>
      </x:c>
      <x:c r="D103" s="12" t="str">
        <x:v>Feature remains usable and readable on mobile/desktop with no overflow.</x:v>
      </x:c>
      <x:c r="E103" s="12" t="str">
        <x:v>Requires human/device testing.</x:v>
      </x:c>
      <x:c r="F103" s="12" t="str">
        <x:v>Needs User Test</x:v>
      </x:c>
      <x:c r="G103" s="12" t="str">
        <x:v>P0</x:v>
      </x:c>
      <x:c r="H103" s="12" t="str">
        <x:v>320px; 390px; long content; landscape</x:v>
      </x:c>
      <x:c r="I103" s="12" t="str">
        <x:v>SRC-14</x:v>
      </x:c>
      <x:c r="J103" s="12" t="str">
        <x:v>Not Tested</x:v>
      </x:c>
      <x:c r="K103" s="12" t="str"/>
      <x:c r="L103" s="12" t="str"/>
      <x:c r="M103" s="12" t="str"/>
    </x:row>
    <x:row r="104">
      <x:c r="A104" s="12" t="str">
        <x:v>FT-103</x:v>
      </x:c>
      <x:c r="B104" s="12" t="str">
        <x:v>Sound</x:v>
      </x:c>
      <x:c r="C104" s="12" t="str">
        <x:v>Duplicate/Delete/Undo</x:v>
      </x:c>
      <x:c r="D104" s="12" t="str">
        <x:v>Delete can be undone; repeated creation does not create broken IDs/state.</x:v>
      </x:c>
      <x:c r="E104" s="12" t="str">
        <x:v>Undo/redo exists; feature duplicate action not explicit.</x:v>
      </x:c>
      <x:c r="F104" s="12" t="str">
        <x:v>Partial</x:v>
      </x:c>
      <x:c r="G104" s="12" t="str">
        <x:v>P1</x:v>
      </x:c>
      <x:c r="H104" s="12" t="str">
        <x:v>delete then undo; duplicate 10x; autosave during undo</x:v>
      </x:c>
      <x:c r="I104" s="12" t="str">
        <x:v>SRC-02,SRC-03,SRC-04</x:v>
      </x:c>
      <x:c r="J104" s="12" t="str">
        <x:v>Not Tested</x:v>
      </x:c>
      <x:c r="K104" s="12" t="str"/>
      <x:c r="L104" s="12" t="str"/>
      <x:c r="M104" s="12" t="str"/>
    </x:row>
    <x:row r="105">
      <x:c r="A105" s="12" t="str">
        <x:v>FT-104</x:v>
      </x:c>
      <x:c r="B105" s="12" t="str">
        <x:v>Sound</x:v>
      </x:c>
      <x:c r="C105" s="12" t="str">
        <x:v>Preview Parity</x:v>
      </x:c>
      <x:c r="D105" s="12" t="str">
        <x:v>Editor → full Preview → published site should be visually consistent.</x:v>
      </x:c>
      <x:c r="E105" s="12" t="str">
        <x:v>Feature wrapper uses same core renderer for many cases; special Buka Undangan/Sound paths differ.</x:v>
      </x:c>
      <x:c r="F105" s="12" t="str">
        <x:v>Partial</x:v>
      </x:c>
      <x:c r="G105" s="12" t="str">
        <x:v>P0</x:v>
      </x:c>
      <x:c r="H105" s="12" t="str">
        <x:v>unsaved autosave state; revision restore; template mode vs site mode</x:v>
      </x:c>
      <x:c r="I105" s="12" t="str">
        <x:v>SRC-12,SRC-13</x:v>
      </x:c>
      <x:c r="J105" s="12" t="str">
        <x:v>Not Tested</x:v>
      </x:c>
      <x:c r="K105" s="12" t="str"/>
      <x:c r="L105" s="12" t="str"/>
      <x:c r="M105" s="12" t="str"/>
    </x:row>
  </x:sheetData>
  <x:conditionalFormatting sqref="F2:F105">
    <x:cfRule type="expression" dxfId="30" priority="1">
      <x:formula>F2="Meets"</x:formula>
    </x:cfRule>
    <x:cfRule type="expression" dxfId="31" priority="2">
      <x:formula>F2="Partial"</x:formula>
    </x:cfRule>
    <x:cfRule type="expression" dxfId="32" priority="3">
      <x:formula>F2="Gap"</x:formula>
    </x:cfRule>
    <x:cfRule type="expression" dxfId="33" priority="4">
      <x:formula>F2="Fail"</x:formula>
    </x:cfRule>
    <x:cfRule type="expression" dxfId="34" priority="5">
      <x:formula>F2="Needs User Test"</x:formula>
    </x:cfRule>
  </x:conditionalFormatting>
  <x:conditionalFormatting sqref="J2:J105">
    <x:cfRule type="expression" dxfId="35" priority="6">
      <x:formula>J2="Pass"</x:formula>
    </x:cfRule>
    <x:cfRule type="expression" dxfId="36" priority="7">
      <x:formula>J2="Fail"</x:formula>
    </x:cfRule>
    <x:cfRule type="expression" dxfId="37" priority="8">
      <x:formula>J2="Blocked"</x:formula>
    </x:cfRule>
  </x:conditionalFormatting>
  <x:dataValidations count="2">
    <x:dataValidation type="list" sqref="F2:F105">
      <x:formula1>"Meets,Partial,Gap,Fail,Needs User Test"</x:formula1>
    </x:dataValidation>
    <x:dataValidation type="list" sqref="J2:J105">
      <x:formula1>"Not Tested,Pass,Fail,Blocked"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183be6446b4ca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6" hidden="0" customWidth="1"/>
    <x:col min="4" max="4" width="58" hidden="0" customWidth="1"/>
    <x:col min="5" max="5" width="58" hidden="0" customWidth="1"/>
    <x:col min="6" max="6" width="16" hidden="0" customWidth="1"/>
    <x:col min="7" max="7" width="10" hidden="0" customWidth="1"/>
    <x:col min="8" max="8" width="40" hidden="0" customWidth="1"/>
    <x:col min="9" max="9" width="18" hidden="0" customWidth="1"/>
    <x:col min="10" max="10" width="14" hidden="0" customWidth="1"/>
    <x:col min="11" max="11" width="44" hidden="0" customWidth="1"/>
    <x:col min="12" max="12" width="14" hidden="0" customWidth="1"/>
    <x:col min="13" max="13" width="30" hidden="0" customWidth="1"/>
  </x:cols>
  <x:sheetData>
    <x:row r="1" ht="28" customHeight="1">
      <x:c r="A1" s="6" t="str">
        <x:v>QA ID</x:v>
      </x:c>
      <x:c r="B1" s="6" t="str">
        <x:v>Group</x:v>
      </x:c>
      <x:c r="C1" s="6" t="str">
        <x:v>Scenario</x:v>
      </x:c>
      <x:c r="D1" s="6" t="str">
        <x:v>Expected UX</x:v>
      </x:c>
      <x:c r="E1" s="6" t="str">
        <x:v>Current v0.14</x:v>
      </x:c>
      <x:c r="F1" s="6" t="str">
        <x:v>Pre-Audit</x:v>
      </x:c>
      <x:c r="G1" s="6" t="str">
        <x:v>Priority</x:v>
      </x:c>
      <x:c r="H1" s="6" t="str">
        <x:v>Edge Case</x:v>
      </x:c>
      <x:c r="I1" s="6" t="str">
        <x:v>Source IDs</x:v>
      </x:c>
      <x:c r="J1" s="6" t="str">
        <x:v>Tester Result</x:v>
      </x:c>
      <x:c r="K1" s="6" t="str">
        <x:v>Actual Observation</x:v>
      </x:c>
      <x:c r="L1" s="6" t="str">
        <x:v>Defect ID</x:v>
      </x:c>
      <x:c r="M1" s="6" t="str">
        <x:v>Notes</x:v>
      </x:c>
    </x:row>
    <x:row r="2">
      <x:c r="A2" s="12" t="str">
        <x:v>BU-001</x:v>
      </x:c>
      <x:c r="B2" s="12" t="str">
        <x:v>Content</x:v>
      </x:c>
      <x:c r="C2" s="12" t="str">
        <x:v>Edit eyebrow/heading/recipient/guest/body/button</x:v>
      </x:c>
      <x:c r="D2" s="12" t="str">
        <x:v>All visible strings can be edited in inspector or inline.</x:v>
      </x:c>
      <x:c r="E2" s="12" t="str">
        <x:v>Implemented.</x:v>
      </x:c>
      <x:c r="F2" s="12" t="str">
        <x:v>Meets</x:v>
      </x:c>
      <x:c r="G2" s="12" t="str">
        <x:v>P0</x:v>
      </x:c>
      <x:c r="H2" s="12" t="str"/>
      <x:c r="I2" s="12" t="str">
        <x:v>SRC-04</x:v>
      </x:c>
      <x:c r="J2" s="12" t="str">
        <x:v>Not Tested</x:v>
      </x:c>
      <x:c r="K2" s="12" t="str"/>
      <x:c r="L2" s="12" t="str"/>
      <x:c r="M2" s="12" t="str"/>
    </x:row>
    <x:row r="3">
      <x:c r="A3" s="12" t="str">
        <x:v>BU-002</x:v>
      </x:c>
      <x:c r="B3" s="12" t="str">
        <x:v>Icon</x:v>
      </x:c>
      <x:c r="C3" s="12" t="str">
        <x:v>Replace default icon</x:v>
      </x:c>
      <x:c r="D3" s="12" t="str">
        <x:v>Icon should be selectable from icon library and optionally hidden/custom-uploaded.</x:v>
      </x:c>
      <x:c r="E3" s="12" t="str">
        <x:v>MailOpen is hard-coded in editor and public cover.</x:v>
      </x:c>
      <x:c r="F3" s="12" t="str">
        <x:v>Gap</x:v>
      </x:c>
      <x:c r="G3" s="12" t="str">
        <x:v>P0</x:v>
      </x:c>
      <x:c r="H3" s="12" t="str"/>
      <x:c r="I3" s="12" t="str">
        <x:v>SRC-02</x:v>
      </x:c>
      <x:c r="J3" s="12" t="str">
        <x:v>Not Tested</x:v>
      </x:c>
      <x:c r="K3" s="12" t="str"/>
      <x:c r="L3" s="12" t="str"/>
      <x:c r="M3" s="12" t="str"/>
    </x:row>
    <x:row r="4">
      <x:c r="A4" s="12" t="str">
        <x:v>BU-003</x:v>
      </x:c>
      <x:c r="B4" s="12" t="str">
        <x:v>Icon</x:v>
      </x:c>
      <x:c r="C4" s="12" t="str">
        <x:v>Icon size</x:v>
      </x:c>
      <x:c r="D4" s="12" t="str">
        <x:v>Icon size should be adjustable independent of text.</x:v>
      </x:c>
      <x:c r="E4" s="12" t="str">
        <x:v>Hard-coded 20/28px.</x:v>
      </x:c>
      <x:c r="F4" s="12" t="str">
        <x:v>Gap</x:v>
      </x:c>
      <x:c r="G4" s="12" t="str">
        <x:v>P1</x:v>
      </x:c>
      <x:c r="H4" s="12" t="str"/>
      <x:c r="I4" s="12" t="str">
        <x:v>SRC-04</x:v>
      </x:c>
      <x:c r="J4" s="12" t="str">
        <x:v>Not Tested</x:v>
      </x:c>
      <x:c r="K4" s="12" t="str"/>
      <x:c r="L4" s="12" t="str"/>
      <x:c r="M4" s="12" t="str"/>
    </x:row>
    <x:row r="5">
      <x:c r="A5" s="12" t="str">
        <x:v>BU-004</x:v>
      </x:c>
      <x:c r="B5" s="12" t="str">
        <x:v>Icon</x:v>
      </x:c>
      <x:c r="C5" s="12" t="str">
        <x:v>Icon position</x:v>
      </x:c>
      <x:c r="D5" s="12" t="str">
        <x:v>Icon can appear left/right/top of button label or be removed.</x:v>
      </x:c>
      <x:c r="E5" s="12" t="str">
        <x:v>Hard-coded before label.</x:v>
      </x:c>
      <x:c r="F5" s="12" t="str">
        <x:v>Gap</x:v>
      </x:c>
      <x:c r="G5" s="12" t="str">
        <x:v>P1</x:v>
      </x:c>
      <x:c r="H5" s="12" t="str"/>
      <x:c r="I5" s="12" t="str">
        <x:v>SRC-04</x:v>
      </x:c>
      <x:c r="J5" s="12" t="str">
        <x:v>Not Tested</x:v>
      </x:c>
      <x:c r="K5" s="12" t="str"/>
      <x:c r="L5" s="12" t="str"/>
      <x:c r="M5" s="12" t="str"/>
    </x:row>
    <x:row r="6">
      <x:c r="A6" s="12" t="str">
        <x:v>BU-005</x:v>
      </x:c>
      <x:c r="B6" s="12" t="str">
        <x:v>Button</x:v>
      </x:c>
      <x:c r="C6" s="12" t="str">
        <x:v>Border radius</x:v>
      </x:c>
      <x:c r="D6" s="12" t="str">
        <x:v>Button radius should be adjustable 0→pill and match editor/preview/public.</x:v>
      </x:c>
      <x:c r="E6" s="12" t="str">
        <x:v>Public button radius not controlled; generic BoxStyle affects wrapper, not button.</x:v>
      </x:c>
      <x:c r="F6" s="12" t="str">
        <x:v>Gap</x:v>
      </x:c>
      <x:c r="G6" s="12" t="str">
        <x:v>P0</x:v>
      </x:c>
      <x:c r="H6" s="12" t="str"/>
      <x:c r="I6" s="12" t="str">
        <x:v>SRC-04</x:v>
      </x:c>
      <x:c r="J6" s="12" t="str">
        <x:v>Not Tested</x:v>
      </x:c>
      <x:c r="K6" s="12" t="str"/>
      <x:c r="L6" s="12" t="str"/>
      <x:c r="M6" s="12" t="str"/>
    </x:row>
    <x:row r="7">
      <x:c r="A7" s="12" t="str">
        <x:v>BU-006</x:v>
      </x:c>
      <x:c r="B7" s="12" t="str">
        <x:v>Button</x:v>
      </x:c>
      <x:c r="C7" s="12" t="str">
        <x:v>Border</x:v>
      </x:c>
      <x:c r="D7" s="12" t="str">
        <x:v>Border width/color/style should be editable.</x:v>
      </x:c>
      <x:c r="E7" s="12" t="str">
        <x:v>Hard-coded 1px white border.</x:v>
      </x:c>
      <x:c r="F7" s="12" t="str">
        <x:v>Gap</x:v>
      </x:c>
      <x:c r="G7" s="12" t="str">
        <x:v>P1</x:v>
      </x:c>
      <x:c r="H7" s="12" t="str"/>
      <x:c r="I7" s="12" t="str">
        <x:v>SRC-04</x:v>
      </x:c>
      <x:c r="J7" s="12" t="str">
        <x:v>Not Tested</x:v>
      </x:c>
      <x:c r="K7" s="12" t="str"/>
      <x:c r="L7" s="12" t="str"/>
      <x:c r="M7" s="12" t="str"/>
    </x:row>
    <x:row r="8">
      <x:c r="A8" s="12" t="str">
        <x:v>BU-007</x:v>
      </x:c>
      <x:c r="B8" s="12" t="str">
        <x:v>Button</x:v>
      </x:c>
      <x:c r="C8" s="12" t="str">
        <x:v>Background</x:v>
      </x:c>
      <x:c r="D8" s="12" t="str">
        <x:v>Solid/transparent/gradient button background should be editable.</x:v>
      </x:c>
      <x:c r="E8" s="12" t="str">
        <x:v>Hard-coded dark translucent background.</x:v>
      </x:c>
      <x:c r="F8" s="12" t="str">
        <x:v>Gap</x:v>
      </x:c>
      <x:c r="G8" s="12" t="str">
        <x:v>P1</x:v>
      </x:c>
      <x:c r="H8" s="12" t="str"/>
      <x:c r="I8" s="12" t="str">
        <x:v>SRC-03</x:v>
      </x:c>
      <x:c r="J8" s="12" t="str">
        <x:v>Not Tested</x:v>
      </x:c>
      <x:c r="K8" s="12" t="str"/>
      <x:c r="L8" s="12" t="str"/>
      <x:c r="M8" s="12" t="str"/>
    </x:row>
    <x:row r="9">
      <x:c r="A9" s="12" t="str">
        <x:v>BU-008</x:v>
      </x:c>
      <x:c r="B9" s="12" t="str">
        <x:v>Button</x:v>
      </x:c>
      <x:c r="C9" s="12" t="str">
        <x:v>Padding/size</x:v>
      </x:c>
      <x:c r="D9" s="12" t="str">
        <x:v>Button padding/min-width should be adjustable.</x:v>
      </x:c>
      <x:c r="E9" s="12" t="str">
        <x:v>Hard-coded height/padding.</x:v>
      </x:c>
      <x:c r="F9" s="12" t="str">
        <x:v>Gap</x:v>
      </x:c>
      <x:c r="G9" s="12" t="str">
        <x:v>P1</x:v>
      </x:c>
      <x:c r="H9" s="12" t="str"/>
      <x:c r="I9" s="12" t="str">
        <x:v>SRC-04</x:v>
      </x:c>
      <x:c r="J9" s="12" t="str">
        <x:v>Not Tested</x:v>
      </x:c>
      <x:c r="K9" s="12" t="str"/>
      <x:c r="L9" s="12" t="str"/>
      <x:c r="M9" s="12" t="str"/>
    </x:row>
    <x:row r="10">
      <x:c r="A10" s="12" t="str">
        <x:v>BU-009</x:v>
      </x:c>
      <x:c r="B10" s="12" t="str">
        <x:v>Button</x:v>
      </x:c>
      <x:c r="C10" s="12" t="str">
        <x:v>Hover</x:v>
      </x:c>
      <x:c r="D10" s="12" t="str">
        <x:v>Hover state should have configurable or theme-consistent contrast.</x:v>
      </x:c>
      <x:c r="E10" s="12" t="str">
        <x:v>Current white inverse hover hard-coded.</x:v>
      </x:c>
      <x:c r="F10" s="12" t="str">
        <x:v>Partial</x:v>
      </x:c>
      <x:c r="G10" s="12" t="str">
        <x:v>P2</x:v>
      </x:c>
      <x:c r="H10" s="12" t="str"/>
      <x:c r="I10" s="12" t="str">
        <x:v>SRC-04</x:v>
      </x:c>
      <x:c r="J10" s="12" t="str">
        <x:v>Not Tested</x:v>
      </x:c>
      <x:c r="K10" s="12" t="str"/>
      <x:c r="L10" s="12" t="str"/>
      <x:c r="M10" s="12" t="str"/>
    </x:row>
    <x:row r="11">
      <x:c r="A11" s="12" t="str">
        <x:v>BU-010</x:v>
      </x:c>
      <x:c r="B11" s="12" t="str">
        <x:v>Layout</x:v>
      </x:c>
      <x:c r="C11" s="12" t="str">
        <x:v>Content alignment</x:v>
      </x:c>
      <x:c r="D11" s="12" t="str">
        <x:v>Left/center/right should change entire cover content alignment including icon/button, not only textAlign.</x:v>
      </x:c>
      <x:c r="E11" s="12" t="str">
        <x:v>cover-content uses align-items:center; textAlign changes do not move button/icon.</x:v>
      </x:c>
      <x:c r="F11" s="12" t="str">
        <x:v>Gap</x:v>
      </x:c>
      <x:c r="G11" s="12" t="str">
        <x:v>P0</x:v>
      </x:c>
      <x:c r="H11" s="12" t="str"/>
      <x:c r="I11" s="12" t="str">
        <x:v>SRC-10,SRC-11</x:v>
      </x:c>
      <x:c r="J11" s="12" t="str">
        <x:v>Not Tested</x:v>
      </x:c>
      <x:c r="K11" s="12" t="str"/>
      <x:c r="L11" s="12" t="str"/>
      <x:c r="M11" s="12" t="str"/>
    </x:row>
    <x:row r="12">
      <x:c r="A12" s="12" t="str">
        <x:v>BU-011</x:v>
      </x:c>
      <x:c r="B12" s="12" t="str">
        <x:v>Layout</x:v>
      </x:c>
      <x:c r="C12" s="12" t="str">
        <x:v>Vertical alignment</x:v>
      </x:c>
      <x:c r="D12" s="12" t="str">
        <x:v>Top/center/bottom positioning of opening content.</x:v>
      </x:c>
      <x:c r="E12" s="12" t="str">
        <x:v>Always centered in cover column.</x:v>
      </x:c>
      <x:c r="F12" s="12" t="str">
        <x:v>Gap</x:v>
      </x:c>
      <x:c r="G12" s="12" t="str">
        <x:v>P1</x:v>
      </x:c>
      <x:c r="H12" s="12" t="str"/>
      <x:c r="I12" s="12" t="str">
        <x:v>SRC-10,SRC-11</x:v>
      </x:c>
      <x:c r="J12" s="12" t="str">
        <x:v>Not Tested</x:v>
      </x:c>
      <x:c r="K12" s="12" t="str"/>
      <x:c r="L12" s="12" t="str"/>
      <x:c r="M12" s="12" t="str"/>
    </x:row>
    <x:row r="13">
      <x:c r="A13" s="12" t="str">
        <x:v>BU-012</x:v>
      </x:c>
      <x:c r="B13" s="12" t="str">
        <x:v>Gradient</x:v>
      </x:c>
      <x:c r="C13" s="12" t="str">
        <x:v>Feature background gradient</x:v>
      </x:c>
      <x:c r="D13" s="12" t="str">
        <x:v>Gradient chosen on Buka Undangan must be visible in editor and public cover.</x:v>
      </x:c>
      <x:c r="E13" s="12" t="str">
        <x:v>Public InvitationCover uses section gradient/background layers rather than feature gradient; editor background is hard-coded.</x:v>
      </x:c>
      <x:c r="F13" s="12" t="str">
        <x:v>Gap</x:v>
      </x:c>
      <x:c r="G13" s="12" t="str">
        <x:v>P0</x:v>
      </x:c>
      <x:c r="H13" s="12" t="str"/>
      <x:c r="I13" s="12" t="str">
        <x:v>SRC-03</x:v>
      </x:c>
      <x:c r="J13" s="12" t="str">
        <x:v>Not Tested</x:v>
      </x:c>
      <x:c r="K13" s="12" t="str"/>
      <x:c r="L13" s="12" t="str"/>
      <x:c r="M13" s="12" t="str"/>
    </x:row>
    <x:row r="14">
      <x:c r="A14" s="12" t="str">
        <x:v>BU-013</x:v>
      </x:c>
      <x:c r="B14" s="12" t="str">
        <x:v>Background</x:v>
      </x:c>
      <x:c r="C14" s="12" t="str">
        <x:v>No default image</x:v>
      </x:c>
      <x:c r="D14" s="12" t="str">
        <x:v>Feature starts with background image none.</x:v>
      </x:c>
      <x:c r="E14" s="12" t="str">
        <x:v>No feature media image by default; however legacy CSS still contains cover-reference background rule on invitation-cover-screen base.</x:v>
      </x:c>
      <x:c r="F14" s="12" t="str">
        <x:v>Partial</x:v>
      </x:c>
      <x:c r="G14" s="12" t="str">
        <x:v>P0</x:v>
      </x:c>
      <x:c r="H14" s="12" t="str">
        <x:v>theme without section bg</x:v>
      </x:c>
      <x:c r="I14" s="12" t="str">
        <x:v>SRC-04</x:v>
      </x:c>
      <x:c r="J14" s="12" t="str">
        <x:v>Not Tested</x:v>
      </x:c>
      <x:c r="K14" s="12" t="str"/>
      <x:c r="L14" s="12" t="str"/>
      <x:c r="M14" s="12" t="str"/>
    </x:row>
    <x:row r="15">
      <x:c r="A15" s="12" t="str">
        <x:v>BU-014</x:v>
      </x:c>
      <x:c r="B15" s="12" t="str">
        <x:v>Background</x:v>
      </x:c>
      <x:c r="C15" s="12" t="str">
        <x:v>Image effect/motion</x:v>
      </x:c>
      <x:c r="D15" s="12" t="str">
        <x:v>Image effect/motion/position/repeat should be reflected consistently.</x:v>
      </x:c>
      <x:c r="E15" s="12" t="str">
        <x:v>Controls exist.</x:v>
      </x:c>
      <x:c r="F15" s="12" t="str">
        <x:v>Partial</x:v>
      </x:c>
      <x:c r="G15" s="12" t="str">
        <x:v>P1</x:v>
      </x:c>
      <x:c r="H15" s="12" t="str">
        <x:v>contain/repeat + multi-column</x:v>
      </x:c>
      <x:c r="I15" s="12" t="str">
        <x:v>SRC-04</x:v>
      </x:c>
      <x:c r="J15" s="12" t="str">
        <x:v>Not Tested</x:v>
      </x:c>
      <x:c r="K15" s="12" t="str"/>
      <x:c r="L15" s="12" t="str"/>
      <x:c r="M15" s="12" t="str"/>
    </x:row>
    <x:row r="16">
      <x:c r="A16" s="12" t="str">
        <x:v>BU-015</x:v>
      </x:c>
      <x:c r="B16" s="12" t="str">
        <x:v>Opening Animation</x:v>
      </x:c>
      <x:c r="C16" s="12" t="str">
        <x:v>Transition selector</x:v>
      </x:c>
      <x:c r="D16" s="12" t="str">
        <x:v>Choose Slide Up, Slide Down, Slide Left, Slide Right, Fade, Zoom, Curtain, Split, Dissolve.</x:v>
      </x:c>
      <x:c r="E16" s="12" t="str">
        <x:v>Public opening uses only coverExit fade/scale.</x:v>
      </x:c>
      <x:c r="F16" s="12" t="str">
        <x:v>Gap</x:v>
      </x:c>
      <x:c r="G16" s="12" t="str">
        <x:v>P0</x:v>
      </x:c>
      <x:c r="H16" s="12" t="str"/>
      <x:c r="I16" s="12" t="str">
        <x:v>SRC-04</x:v>
      </x:c>
      <x:c r="J16" s="12" t="str">
        <x:v>Not Tested</x:v>
      </x:c>
      <x:c r="K16" s="12" t="str"/>
      <x:c r="L16" s="12" t="str"/>
      <x:c r="M16" s="12" t="str"/>
    </x:row>
    <x:row r="17">
      <x:c r="A17" s="12" t="str">
        <x:v>BU-016</x:v>
      </x:c>
      <x:c r="B17" s="12" t="str">
        <x:v>Opening Animation</x:v>
      </x:c>
      <x:c r="C17" s="12" t="str">
        <x:v>Duration</x:v>
      </x:c>
      <x:c r="D17" s="12" t="str">
        <x:v>Opening duration should be user-configurable with safe bounds.</x:v>
      </x:c>
      <x:c r="E17" s="12" t="str">
        <x:v>Fixed 720ms timeout.</x:v>
      </x:c>
      <x:c r="F17" s="12" t="str">
        <x:v>Gap</x:v>
      </x:c>
      <x:c r="G17" s="12" t="str">
        <x:v>P1</x:v>
      </x:c>
      <x:c r="H17" s="12" t="str"/>
      <x:c r="I17" s="12" t="str">
        <x:v>SRC-04</x:v>
      </x:c>
      <x:c r="J17" s="12" t="str">
        <x:v>Not Tested</x:v>
      </x:c>
      <x:c r="K17" s="12" t="str"/>
      <x:c r="L17" s="12" t="str"/>
      <x:c r="M17" s="12" t="str"/>
    </x:row>
    <x:row r="18">
      <x:c r="A18" s="12" t="str">
        <x:v>BU-017</x:v>
      </x:c>
      <x:c r="B18" s="12" t="str">
        <x:v>Opening Animation</x:v>
      </x:c>
      <x:c r="C18" s="12" t="str">
        <x:v>Easing</x:v>
      </x:c>
      <x:c r="D18" s="12" t="str">
        <x:v>Easing should be selectable or theme-defined.</x:v>
      </x:c>
      <x:c r="E18" s="12" t="str">
        <x:v>Hard-coded ease.</x:v>
      </x:c>
      <x:c r="F18" s="12" t="str">
        <x:v>Gap</x:v>
      </x:c>
      <x:c r="G18" s="12" t="str">
        <x:v>P2</x:v>
      </x:c>
      <x:c r="H18" s="12" t="str"/>
      <x:c r="I18" s="12" t="str">
        <x:v>SRC-04</x:v>
      </x:c>
      <x:c r="J18" s="12" t="str">
        <x:v>Not Tested</x:v>
      </x:c>
      <x:c r="K18" s="12" t="str"/>
      <x:c r="L18" s="12" t="str"/>
      <x:c r="M18" s="12" t="str"/>
    </x:row>
    <x:row r="19">
      <x:c r="A19" s="12" t="str">
        <x:v>BU-018</x:v>
      </x:c>
      <x:c r="B19" s="12" t="str">
        <x:v>Opening Animation</x:v>
      </x:c>
      <x:c r="C19" s="12" t="str">
        <x:v>Reduced motion</x:v>
      </x:c>
      <x:c r="D19" s="12" t="str">
        <x:v>Reduced-motion mode should shorten/remove large transitions.</x:v>
      </x:c>
      <x:c r="E19" s="12" t="str">
        <x:v>No explicit branch observed.</x:v>
      </x:c>
      <x:c r="F19" s="12" t="str">
        <x:v>Gap</x:v>
      </x:c>
      <x:c r="G19" s="12" t="str">
        <x:v>P0</x:v>
      </x:c>
      <x:c r="H19" s="12" t="str"/>
      <x:c r="I19" s="12" t="str">
        <x:v>SRC-07</x:v>
      </x:c>
      <x:c r="J19" s="12" t="str">
        <x:v>Not Tested</x:v>
      </x:c>
      <x:c r="K19" s="12" t="str"/>
      <x:c r="L19" s="12" t="str"/>
      <x:c r="M19" s="12" t="str"/>
    </x:row>
    <x:row r="20">
      <x:c r="A20" s="12" t="str">
        <x:v>BU-019</x:v>
      </x:c>
      <x:c r="B20" s="12" t="str">
        <x:v>Rules</x:v>
      </x:c>
      <x:c r="C20" s="12" t="str">
        <x:v>Only first canvas</x:v>
      </x:c>
      <x:c r="D20" s="12" t="str">
        <x:v>Opening feature can exist only once and only on first Canvas.</x:v>
      </x:c>
      <x:c r="E20" s="12" t="str">
        <x:v>Implemented by add/move normalization.</x:v>
      </x:c>
      <x:c r="F20" s="12" t="str">
        <x:v>Meets</x:v>
      </x:c>
      <x:c r="G20" s="12" t="str">
        <x:v>P0</x:v>
      </x:c>
      <x:c r="H20" s="12" t="str">
        <x:v>drag to second canvas; apply second template</x:v>
      </x:c>
      <x:c r="I20" s="12" t="str">
        <x:v>SRC-04</x:v>
      </x:c>
      <x:c r="J20" s="12" t="str">
        <x:v>Not Tested</x:v>
      </x:c>
      <x:c r="K20" s="12" t="str"/>
      <x:c r="L20" s="12" t="str"/>
      <x:c r="M20" s="12" t="str"/>
    </x:row>
    <x:row r="21">
      <x:c r="A21" s="12" t="str">
        <x:v>BU-020</x:v>
      </x:c>
      <x:c r="B21" s="12" t="str">
        <x:v>Rules</x:v>
      </x:c>
      <x:c r="C21" s="12" t="str">
        <x:v>Delete opening feature</x:v>
      </x:c>
      <x:c r="D21" s="12" t="str">
        <x:v>Published site becomes directly accessible when cover deleted.</x:v>
      </x:c>
      <x:c r="E21" s="12" t="str">
        <x:v>Renderer supports no-cover path; needs regression.</x:v>
      </x:c>
      <x:c r="F21" s="12" t="str">
        <x:v>Needs User Test</x:v>
      </x:c>
      <x:c r="G21" s="12" t="str">
        <x:v>P0</x:v>
      </x:c>
      <x:c r="H21" s="12" t="str"/>
      <x:c r="I21" s="12" t="str">
        <x:v>SRC-04</x:v>
      </x:c>
      <x:c r="J21" s="12" t="str">
        <x:v>Not Tested</x:v>
      </x:c>
      <x:c r="K21" s="12" t="str"/>
      <x:c r="L21" s="12" t="str"/>
      <x:c r="M21" s="12" t="str"/>
    </x:row>
    <x:row r="22">
      <x:c r="A22" s="12" t="str">
        <x:v>BU-021</x:v>
      </x:c>
      <x:c r="B22" s="12" t="str">
        <x:v>Multi-column</x:v>
      </x:c>
      <x:c r="C22" s="12" t="str">
        <x:v>1–4 columns</x:v>
      </x:c>
      <x:c r="D22" s="12" t="str">
        <x:v>Cover should remain understandable in 1–4 columns and mobile.</x:v>
      </x:c>
      <x:c r="E22" s="12" t="str">
        <x:v>Renderer supports column count; needs usability test.</x:v>
      </x:c>
      <x:c r="F22" s="12" t="str">
        <x:v>Needs User Test</x:v>
      </x:c>
      <x:c r="G22" s="12" t="str">
        <x:v>P0</x:v>
      </x:c>
      <x:c r="H22" s="12" t="str">
        <x:v>4 columns + long guest name</x:v>
      </x:c>
      <x:c r="I22" s="12" t="str">
        <x:v>SRC-04</x:v>
      </x:c>
      <x:c r="J22" s="12" t="str">
        <x:v>Not Tested</x:v>
      </x:c>
      <x:c r="K22" s="12" t="str"/>
      <x:c r="L22" s="12" t="str"/>
      <x:c r="M22" s="12" t="str"/>
    </x:row>
    <x:row r="23">
      <x:c r="A23" s="12" t="str">
        <x:v>BU-022</x:v>
      </x:c>
      <x:c r="B23" s="12" t="str">
        <x:v>Personalization</x:v>
      </x:c>
      <x:c r="C23" s="12" t="str">
        <x:v>Long guest name</x:v>
      </x:c>
      <x:c r="D23" s="12" t="str">
        <x:v>Long names/titles should wrap without hiding button.</x:v>
      </x:c>
      <x:c r="E23" s="12" t="str">
        <x:v>Needs testing.</x:v>
      </x:c>
      <x:c r="F23" s="12" t="str">
        <x:v>Needs User Test</x:v>
      </x:c>
      <x:c r="G23" s="12" t="str">
        <x:v>P0</x:v>
      </x:c>
      <x:c r="H23" s="12" t="str">
        <x:v>80+ chars; title/gender/suffix</x:v>
      </x:c>
      <x:c r="I23" s="12" t="str">
        <x:v>SRC-04</x:v>
      </x:c>
      <x:c r="J23" s="12" t="str">
        <x:v>Not Tested</x:v>
      </x:c>
      <x:c r="K23" s="12" t="str"/>
      <x:c r="L23" s="12" t="str"/>
      <x:c r="M23" s="12" t="str"/>
    </x:row>
    <x:row r="24">
      <x:c r="A24" s="12" t="str">
        <x:v>BU-023</x:v>
      </x:c>
      <x:c r="B24" s="12" t="str">
        <x:v>Accessibility</x:v>
      </x:c>
      <x:c r="C24" s="12" t="str">
        <x:v>Keyboard open</x:v>
      </x:c>
      <x:c r="D24" s="12" t="str">
        <x:v>Open button operable with keyboard and focus visible.</x:v>
      </x:c>
      <x:c r="E24" s="12" t="str">
        <x:v>Native button exists; focus styling not audited.</x:v>
      </x:c>
      <x:c r="F24" s="12" t="str">
        <x:v>Needs User Test</x:v>
      </x:c>
      <x:c r="G24" s="12" t="str">
        <x:v>P0</x:v>
      </x:c>
      <x:c r="H24" s="12" t="str"/>
      <x:c r="I24" s="12" t="str">
        <x:v>SRC-04</x:v>
      </x:c>
      <x:c r="J24" s="12" t="str">
        <x:v>Not Tested</x:v>
      </x:c>
      <x:c r="K24" s="12" t="str"/>
      <x:c r="L24" s="12" t="str"/>
      <x:c r="M24" s="12" t="str"/>
    </x:row>
    <x:row r="25">
      <x:c r="A25" s="12" t="str">
        <x:v>BU-024</x:v>
      </x:c>
      <x:c r="B25" s="12" t="str">
        <x:v>Accessibility</x:v>
      </x:c>
      <x:c r="C25" s="12" t="str">
        <x:v>Contrast</x:v>
      </x:c>
      <x:c r="D25" s="12" t="str">
        <x:v>Text/button remain readable over user background.</x:v>
      </x:c>
      <x:c r="E25" s="12" t="str">
        <x:v>Overlay slider exists but no contrast warning.</x:v>
      </x:c>
      <x:c r="F25" s="12" t="str">
        <x:v>Partial</x:v>
      </x:c>
      <x:c r="G25" s="12" t="str">
        <x:v>P0</x:v>
      </x:c>
      <x:c r="H25" s="12" t="str">
        <x:v>very light photo; overlay 0</x:v>
      </x:c>
      <x:c r="I25" s="12" t="str">
        <x:v>SRC-04</x:v>
      </x:c>
      <x:c r="J25" s="12" t="str">
        <x:v>Not Tested</x:v>
      </x:c>
      <x:c r="K25" s="12" t="str"/>
      <x:c r="L25" s="12" t="str"/>
      <x:c r="M25" s="12" t="str"/>
    </x:row>
    <x:row r="26">
      <x:c r="A26" s="12" t="str">
        <x:v>BU-025</x:v>
      </x:c>
      <x:c r="B26" s="12" t="str">
        <x:v>Preview</x:v>
      </x:c>
      <x:c r="C26" s="12" t="str">
        <x:v>Editor/preview/public parity</x:v>
      </x:c>
      <x:c r="D26" s="12" t="str">
        <x:v>Opening screen should use same icon/button style/gradient/animation selection in all three modes.</x:v>
      </x:c>
      <x:c r="E26" s="12" t="str">
        <x:v>Special editor/public implementations diverge.</x:v>
      </x:c>
      <x:c r="F26" s="12" t="str">
        <x:v>Gap</x:v>
      </x:c>
      <x:c r="G26" s="12" t="str">
        <x:v>P0</x:v>
      </x:c>
      <x:c r="H26" s="12" t="str"/>
      <x:c r="I26" s="12" t="str">
        <x:v>SRC-04</x:v>
      </x:c>
      <x:c r="J26" s="12" t="str">
        <x:v>Not Tested</x:v>
      </x:c>
      <x:c r="K26" s="12" t="str"/>
      <x:c r="L26" s="12" t="str"/>
      <x:c r="M26" s="12" t="str"/>
    </x:row>
  </x:sheetData>
  <x:conditionalFormatting sqref="F2:F26">
    <x:cfRule type="expression" dxfId="38" priority="1">
      <x:formula>F2="Meets"</x:formula>
    </x:cfRule>
    <x:cfRule type="expression" dxfId="39" priority="2">
      <x:formula>F2="Partial"</x:formula>
    </x:cfRule>
    <x:cfRule type="expression" dxfId="40" priority="3">
      <x:formula>F2="Gap"</x:formula>
    </x:cfRule>
    <x:cfRule type="expression" dxfId="41" priority="4">
      <x:formula>F2="Fail"</x:formula>
    </x:cfRule>
    <x:cfRule type="expression" dxfId="42" priority="5">
      <x:formula>F2="Needs User Test"</x:formula>
    </x:cfRule>
  </x:conditionalFormatting>
  <x:conditionalFormatting sqref="J2:J26">
    <x:cfRule type="expression" dxfId="43" priority="6">
      <x:formula>J2="Pass"</x:formula>
    </x:cfRule>
    <x:cfRule type="expression" dxfId="44" priority="7">
      <x:formula>J2="Fail"</x:formula>
    </x:cfRule>
    <x:cfRule type="expression" dxfId="45" priority="8">
      <x:formula>J2="Blocked"</x:formula>
    </x:cfRule>
  </x:conditionalFormatting>
  <x:dataValidations count="2">
    <x:dataValidation type="list" sqref="F2:F26">
      <x:formula1>"Meets,Partial,Gap,Fail,Needs User Test"</x:formula1>
    </x:dataValidation>
    <x:dataValidation type="list" sqref="J2:J26">
      <x:formula1>"Not Tested,Pass,Fail,Blocked"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64176870eb428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4" hidden="0" customWidth="1"/>
    <x:col min="4" max="4" width="42" hidden="0" customWidth="1"/>
    <x:col min="5" max="5" width="38" hidden="0" customWidth="1"/>
    <x:col min="6" max="6" width="56" hidden="0" customWidth="1"/>
    <x:col min="7" max="7" width="10" hidden="0" customWidth="1"/>
    <x:col min="8" max="8" width="20" hidden="0" customWidth="1"/>
    <x:col min="9" max="9" width="14" hidden="0" customWidth="1"/>
    <x:col min="10" max="10" width="44" hidden="0" customWidth="1"/>
    <x:col min="11" max="11" width="14" hidden="0" customWidth="1"/>
    <x:col min="12" max="12" width="30" hidden="0" customWidth="1"/>
  </x:cols>
  <x:sheetData>
    <x:row r="1" ht="28" customHeight="1">
      <x:c r="A1" s="6" t="str">
        <x:v>Edge ID</x:v>
      </x:c>
      <x:c r="B1" s="6" t="str">
        <x:v>Module</x:v>
      </x:c>
      <x:c r="C1" s="6" t="str">
        <x:v>Edge Case</x:v>
      </x:c>
      <x:c r="D1" s="6" t="str">
        <x:v>Precondition / Data</x:v>
      </x:c>
      <x:c r="E1" s="6" t="str">
        <x:v>Action</x:v>
      </x:c>
      <x:c r="F1" s="6" t="str">
        <x:v>Expected Result</x:v>
      </x:c>
      <x:c r="G1" s="6" t="str">
        <x:v>Priority</x:v>
      </x:c>
      <x:c r="H1" s="6" t="str">
        <x:v>Research Source</x:v>
      </x:c>
      <x:c r="I1" s="6" t="str">
        <x:v>Tester Result</x:v>
      </x:c>
      <x:c r="J1" s="6" t="str">
        <x:v>Actual Result</x:v>
      </x:c>
      <x:c r="K1" s="6" t="str">
        <x:v>Defect ID</x:v>
      </x:c>
      <x:c r="L1" s="6" t="str">
        <x:v>Notes</x:v>
      </x:c>
    </x:row>
    <x:row r="2">
      <x:c r="A2" s="12" t="str">
        <x:v>EC-001</x:v>
      </x:c>
      <x:c r="B2" s="12" t="str">
        <x:v>Landing</x:v>
      </x:c>
      <x:c r="C2" s="12" t="str">
        <x:v>No templates</x:v>
      </x:c>
      <x:c r="D2" s="12" t="str">
        <x:v>0 Published templates</x:v>
      </x:c>
      <x:c r="E2" s="12" t="str">
        <x:v>Open landing</x:v>
      </x:c>
      <x:c r="F2" s="12" t="str">
        <x:v>Helpful customer-facing empty state; CTA/contact remains usable.</x:v>
      </x:c>
      <x:c r="G2" s="12" t="str">
        <x:v>P1</x:v>
      </x:c>
      <x:c r="H2" s="12" t="str"/>
      <x:c r="I2" s="12" t="str">
        <x:v>Not Tested</x:v>
      </x:c>
      <x:c r="J2" s="12" t="str"/>
      <x:c r="K2" s="12" t="str"/>
      <x:c r="L2" s="12" t="str"/>
    </x:row>
    <x:row r="3">
      <x:c r="A3" s="12" t="str">
        <x:v>EC-002</x:v>
      </x:c>
      <x:c r="B3" s="12" t="str">
        <x:v>Landing</x:v>
      </x:c>
      <x:c r="C3" s="12" t="str">
        <x:v>100 templates</x:v>
      </x:c>
      <x:c r="D3" s="12" t="str">
        <x:v>Large catalog</x:v>
      </x:c>
      <x:c r="E3" s="12" t="str">
        <x:v>Browse/search/filter</x:v>
      </x:c>
      <x:c r="F3" s="12" t="str">
        <x:v>No unusable long scroll; pagination/filter/search; acceptable load.</x:v>
      </x:c>
      <x:c r="G3" s="12" t="str">
        <x:v>P1</x:v>
      </x:c>
      <x:c r="H3" s="12" t="str"/>
      <x:c r="I3" s="12" t="str">
        <x:v>Not Tested</x:v>
      </x:c>
      <x:c r="J3" s="12" t="str"/>
      <x:c r="K3" s="12" t="str"/>
      <x:c r="L3" s="12" t="str"/>
    </x:row>
    <x:row r="4">
      <x:c r="A4" s="12" t="str">
        <x:v>EC-003</x:v>
      </x:c>
      <x:c r="B4" s="12" t="str">
        <x:v>Landing</x:v>
      </x:c>
      <x:c r="C4" s="12" t="str">
        <x:v>No articles</x:v>
      </x:c>
      <x:c r="D4" s="12" t="str">
        <x:v>0 Published articles</x:v>
      </x:c>
      <x:c r="E4" s="12" t="str">
        <x:v>Open article section</x:v>
      </x:c>
      <x:c r="F4" s="12" t="str">
        <x:v>No CMS/internal wording exposed to Viewer.</x:v>
      </x:c>
      <x:c r="G4" s="12" t="str">
        <x:v>P1</x:v>
      </x:c>
      <x:c r="H4" s="12" t="str"/>
      <x:c r="I4" s="12" t="str">
        <x:v>Not Tested</x:v>
      </x:c>
      <x:c r="J4" s="12" t="str"/>
      <x:c r="K4" s="12" t="str"/>
      <x:c r="L4" s="12" t="str"/>
    </x:row>
    <x:row r="5">
      <x:c r="A5" s="12" t="str">
        <x:v>EC-004</x:v>
      </x:c>
      <x:c r="B5" s="12" t="str">
        <x:v>Landing</x:v>
      </x:c>
      <x:c r="C5" s="12" t="str">
        <x:v>Missing preview image</x:v>
      </x:c>
      <x:c r="D5" s="12" t="str">
        <x:v>Template preview URL absent/broken</x:v>
      </x:c>
      <x:c r="E5" s="12" t="str">
        <x:v>Open catalog/detail</x:v>
      </x:c>
      <x:c r="F5" s="12" t="str">
        <x:v>Graceful branded fallback; no broken image icon.</x:v>
      </x:c>
      <x:c r="G5" s="12" t="str">
        <x:v>P1</x:v>
      </x:c>
      <x:c r="H5" s="12" t="str"/>
      <x:c r="I5" s="12" t="str">
        <x:v>Not Tested</x:v>
      </x:c>
      <x:c r="J5" s="12" t="str"/>
      <x:c r="K5" s="12" t="str"/>
      <x:c r="L5" s="12" t="str"/>
    </x:row>
    <x:row r="6">
      <x:c r="A6" s="12" t="str">
        <x:v>EC-005</x:v>
      </x:c>
      <x:c r="B6" s="12" t="str">
        <x:v>Landing</x:v>
      </x:c>
      <x:c r="C6" s="12" t="str">
        <x:v>Long template title</x:v>
      </x:c>
      <x:c r="D6" s="12" t="str">
        <x:v>80-char template title</x:v>
      </x:c>
      <x:c r="E6" s="12" t="str">
        <x:v>Open card/mobile</x:v>
      </x:c>
      <x:c r="F6" s="12" t="str">
        <x:v>Card height/layout stable; title wraps/clamps accessibly.</x:v>
      </x:c>
      <x:c r="G6" s="12" t="str">
        <x:v>P1</x:v>
      </x:c>
      <x:c r="H6" s="12" t="str"/>
      <x:c r="I6" s="12" t="str">
        <x:v>Not Tested</x:v>
      </x:c>
      <x:c r="J6" s="12" t="str"/>
      <x:c r="K6" s="12" t="str"/>
      <x:c r="L6" s="12" t="str"/>
    </x:row>
    <x:row r="7">
      <x:c r="A7" s="12" t="str">
        <x:v>EC-006</x:v>
      </x:c>
      <x:c r="B7" s="12" t="str">
        <x:v>Landing</x:v>
      </x:c>
      <x:c r="C7" s="12" t="str">
        <x:v>Zero price</x:v>
      </x:c>
      <x:c r="D7" s="12" t="str">
        <x:v>Template price 0</x:v>
      </x:c>
      <x:c r="E7" s="12" t="str">
        <x:v>Open card/checkout</x:v>
      </x:c>
      <x:c r="F7" s="12" t="str">
        <x:v>Show Free or policy-defined wording, not Rp0 ambiguity.</x:v>
      </x:c>
      <x:c r="G7" s="12" t="str">
        <x:v>P2</x:v>
      </x:c>
      <x:c r="H7" s="12" t="str"/>
      <x:c r="I7" s="12" t="str">
        <x:v>Not Tested</x:v>
      </x:c>
      <x:c r="J7" s="12" t="str"/>
      <x:c r="K7" s="12" t="str"/>
      <x:c r="L7" s="12" t="str"/>
    </x:row>
    <x:row r="8">
      <x:c r="A8" s="12" t="str">
        <x:v>EC-007</x:v>
      </x:c>
      <x:c r="B8" s="12" t="str">
        <x:v>Landing</x:v>
      </x:c>
      <x:c r="C8" s="12" t="str">
        <x:v>Slow network</x:v>
      </x:c>
      <x:c r="D8" s="12" t="str">
        <x:v>3G/500ms latency</x:v>
      </x:c>
      <x:c r="E8" s="12" t="str">
        <x:v>Load landing</x:v>
      </x:c>
      <x:c r="F8" s="12" t="str">
        <x:v>Text/CTA usable before heavy media; skeleton/fallback.</x:v>
      </x:c>
      <x:c r="G8" s="12" t="str">
        <x:v>P1</x:v>
      </x:c>
      <x:c r="H8" s="12" t="str"/>
      <x:c r="I8" s="12" t="str">
        <x:v>Not Tested</x:v>
      </x:c>
      <x:c r="J8" s="12" t="str"/>
      <x:c r="K8" s="12" t="str"/>
      <x:c r="L8" s="12" t="str"/>
    </x:row>
    <x:row r="9">
      <x:c r="A9" s="12" t="str">
        <x:v>EC-008</x:v>
      </x:c>
      <x:c r="B9" s="12" t="str">
        <x:v>Landing</x:v>
      </x:c>
      <x:c r="C9" s="12" t="str">
        <x:v>Reduced motion</x:v>
      </x:c>
      <x:c r="D9" s="12" t="str">
        <x:v>OS prefers-reduced-motion</x:v>
      </x:c>
      <x:c r="E9" s="12" t="str">
        <x:v>Open landing</x:v>
      </x:c>
      <x:c r="F9" s="12" t="str">
        <x:v>Nonessential animation reduced/disabled.</x:v>
      </x:c>
      <x:c r="G9" s="12" t="str">
        <x:v>P0</x:v>
      </x:c>
      <x:c r="H9" s="12" t="str">
        <x:v>SRC-07</x:v>
      </x:c>
      <x:c r="I9" s="12" t="str">
        <x:v>Not Tested</x:v>
      </x:c>
      <x:c r="J9" s="12" t="str"/>
      <x:c r="K9" s="12" t="str"/>
      <x:c r="L9" s="12" t="str"/>
    </x:row>
    <x:row r="10">
      <x:c r="A10" s="12" t="str">
        <x:v>EC-009</x:v>
      </x:c>
      <x:c r="B10" s="12" t="str">
        <x:v>Landing</x:v>
      </x:c>
      <x:c r="C10" s="12" t="str">
        <x:v>Keyboard only</x:v>
      </x:c>
      <x:c r="D10" s="12" t="str">
        <x:v>No mouse</x:v>
      </x:c>
      <x:c r="E10" s="12" t="str">
        <x:v>Navigate all interactive controls</x:v>
      </x:c>
      <x:c r="F10" s="12" t="str">
        <x:v>Visible focus and logical order; cards/buttons reachable.</x:v>
      </x:c>
      <x:c r="G10" s="12" t="str">
        <x:v>P0</x:v>
      </x:c>
      <x:c r="H10" s="12" t="str"/>
      <x:c r="I10" s="12" t="str">
        <x:v>Not Tested</x:v>
      </x:c>
      <x:c r="J10" s="12" t="str"/>
      <x:c r="K10" s="12" t="str"/>
      <x:c r="L10" s="12" t="str"/>
    </x:row>
    <x:row r="11">
      <x:c r="A11" s="12" t="str">
        <x:v>EC-010</x:v>
      </x:c>
      <x:c r="B11" s="12" t="str">
        <x:v>Landing</x:v>
      </x:c>
      <x:c r="C11" s="12" t="str">
        <x:v>Chat overlap</x:v>
      </x:c>
      <x:c r="D11" s="12" t="str">
        <x:v>390px viewport + open keyboard</x:v>
      </x:c>
      <x:c r="E11" s="12" t="str">
        <x:v>Open chat</x:v>
      </x:c>
      <x:c r="F11" s="12" t="str">
        <x:v>Chat does not block submit/CTA/navigation.</x:v>
      </x:c>
      <x:c r="G11" s="12" t="str">
        <x:v>P1</x:v>
      </x:c>
      <x:c r="H11" s="12" t="str"/>
      <x:c r="I11" s="12" t="str">
        <x:v>Not Tested</x:v>
      </x:c>
      <x:c r="J11" s="12" t="str"/>
      <x:c r="K11" s="12" t="str"/>
      <x:c r="L11" s="12" t="str"/>
    </x:row>
    <x:row r="12">
      <x:c r="A12" s="12" t="str">
        <x:v>EC-011</x:v>
      </x:c>
      <x:c r="B12" s="12" t="str">
        <x:v>Canvas</x:v>
      </x:c>
      <x:c r="C12" s="12" t="str">
        <x:v>Zero canvas</x:v>
      </x:c>
      <x:c r="D12" s="12" t="str">
        <x:v>Site sections=[]</x:v>
      </x:c>
      <x:c r="E12" s="12" t="str">
        <x:v>Open editor</x:v>
      </x:c>
      <x:c r="F12" s="12" t="str">
        <x:v>Clear empty state and Create First Canvas.</x:v>
      </x:c>
      <x:c r="G12" s="12" t="str">
        <x:v>P0</x:v>
      </x:c>
      <x:c r="H12" s="12" t="str"/>
      <x:c r="I12" s="12" t="str">
        <x:v>Not Tested</x:v>
      </x:c>
      <x:c r="J12" s="12" t="str"/>
      <x:c r="K12" s="12" t="str"/>
      <x:c r="L12" s="12" t="str"/>
    </x:row>
    <x:row r="13">
      <x:c r="A13" s="12" t="str">
        <x:v>EC-012</x:v>
      </x:c>
      <x:c r="B13" s="12" t="str">
        <x:v>Canvas</x:v>
      </x:c>
      <x:c r="C13" s="12" t="str">
        <x:v>50 canvases</x:v>
      </x:c>
      <x:c r="D13" s="12" t="str">
        <x:v>Large site</x:v>
      </x:c>
      <x:c r="E13" s="12" t="str">
        <x:v>Scroll Page Structure</x:v>
      </x:c>
      <x:c r="F13" s="12" t="str">
        <x:v>Tree remains navigable; collapse/search recommended.</x:v>
      </x:c>
      <x:c r="G13" s="12" t="str">
        <x:v>P1</x:v>
      </x:c>
      <x:c r="H13" s="12" t="str"/>
      <x:c r="I13" s="12" t="str">
        <x:v>Not Tested</x:v>
      </x:c>
      <x:c r="J13" s="12" t="str"/>
      <x:c r="K13" s="12" t="str"/>
      <x:c r="L13" s="12" t="str"/>
    </x:row>
    <x:row r="14">
      <x:c r="A14" s="12" t="str">
        <x:v>EC-013</x:v>
      </x:c>
      <x:c r="B14" s="12" t="str">
        <x:v>Canvas</x:v>
      </x:c>
      <x:c r="C14" s="12" t="str">
        <x:v>4 columns on mobile</x:v>
      </x:c>
      <x:c r="D14" s="12" t="str">
        <x:v>4-column canvas</x:v>
      </x:c>
      <x:c r="E14" s="12" t="str">
        <x:v>Preview mobile</x:v>
      </x:c>
      <x:c r="F14" s="12" t="str">
        <x:v>Reflows without overflow; feature order sensible.</x:v>
      </x:c>
      <x:c r="G14" s="12" t="str">
        <x:v>P0</x:v>
      </x:c>
      <x:c r="H14" s="12" t="str">
        <x:v>SRC-14</x:v>
      </x:c>
      <x:c r="I14" s="12" t="str">
        <x:v>Not Tested</x:v>
      </x:c>
      <x:c r="J14" s="12" t="str"/>
      <x:c r="K14" s="12" t="str"/>
      <x:c r="L14" s="12" t="str"/>
    </x:row>
    <x:row r="15">
      <x:c r="A15" s="12" t="str">
        <x:v>EC-014</x:v>
      </x:c>
      <x:c r="B15" s="12" t="str">
        <x:v>Canvas</x:v>
      </x:c>
      <x:c r="C15" s="12" t="str">
        <x:v>Long text</x:v>
      </x:c>
      <x:c r="D15" s="12" t="str">
        <x:v>Heading/body &gt;500 chars</x:v>
      </x:c>
      <x:c r="E15" s="12" t="str">
        <x:v>Edit + preview</x:v>
      </x:c>
      <x:c r="F15" s="12" t="str">
        <x:v>No overflow; text remains editable; performance acceptable.</x:v>
      </x:c>
      <x:c r="G15" s="12" t="str">
        <x:v>P1</x:v>
      </x:c>
      <x:c r="H15" s="12" t="str"/>
      <x:c r="I15" s="12" t="str">
        <x:v>Not Tested</x:v>
      </x:c>
      <x:c r="J15" s="12" t="str"/>
      <x:c r="K15" s="12" t="str"/>
      <x:c r="L15" s="12" t="str"/>
    </x:row>
    <x:row r="16">
      <x:c r="A16" s="12" t="str">
        <x:v>EC-015</x:v>
      </x:c>
      <x:c r="B16" s="12" t="str">
        <x:v>Canvas</x:v>
      </x:c>
      <x:c r="C16" s="12" t="str">
        <x:v>Undo after autosave</x:v>
      </x:c>
      <x:c r="D16" s="12" t="str">
        <x:v>Dirty state autosaved</x:v>
      </x:c>
      <x:c r="E16" s="12" t="str">
        <x:v>Make edit → autosave → undo</x:v>
      </x:c>
      <x:c r="F16" s="12" t="str">
        <x:v>Undo produces correct draft and does not corrupt persisted revision.</x:v>
      </x:c>
      <x:c r="G16" s="12" t="str">
        <x:v>P0</x:v>
      </x:c>
      <x:c r="H16" s="12" t="str"/>
      <x:c r="I16" s="12" t="str">
        <x:v>Not Tested</x:v>
      </x:c>
      <x:c r="J16" s="12" t="str"/>
      <x:c r="K16" s="12" t="str"/>
      <x:c r="L16" s="12" t="str"/>
    </x:row>
    <x:row r="17">
      <x:c r="A17" s="12" t="str">
        <x:v>EC-016</x:v>
      </x:c>
      <x:c r="B17" s="12" t="str">
        <x:v>Canvas</x:v>
      </x:c>
      <x:c r="C17" s="12" t="str">
        <x:v>Redo after new edit</x:v>
      </x:c>
      <x:c r="D17" s="12" t="str">
        <x:v>Undo then make new change</x:v>
      </x:c>
      <x:c r="E17" s="12" t="str">
        <x:v>Press redo</x:v>
      </x:c>
      <x:c r="F17" s="12" t="str">
        <x:v>Old redo branch invalidated correctly.</x:v>
      </x:c>
      <x:c r="G17" s="12" t="str">
        <x:v>P1</x:v>
      </x:c>
      <x:c r="H17" s="12" t="str"/>
      <x:c r="I17" s="12" t="str">
        <x:v>Not Tested</x:v>
      </x:c>
      <x:c r="J17" s="12" t="str"/>
      <x:c r="K17" s="12" t="str"/>
      <x:c r="L17" s="12" t="str"/>
    </x:row>
    <x:row r="18">
      <x:c r="A18" s="12" t="str">
        <x:v>EC-017</x:v>
      </x:c>
      <x:c r="B18" s="12" t="str">
        <x:v>Canvas</x:v>
      </x:c>
      <x:c r="C18" s="12" t="str">
        <x:v>Leave during autosave</x:v>
      </x:c>
      <x:c r="D18" s="12" t="str">
        <x:v>Autosave 'saving'</x:v>
      </x:c>
      <x:c r="E18" s="12" t="str">
        <x:v>Click Back</x:v>
      </x:c>
      <x:c r="F18" s="12" t="str">
        <x:v>No data race; save/discard behavior deterministic.</x:v>
      </x:c>
      <x:c r="G18" s="12" t="str">
        <x:v>P0</x:v>
      </x:c>
      <x:c r="H18" s="12" t="str"/>
      <x:c r="I18" s="12" t="str">
        <x:v>Not Tested</x:v>
      </x:c>
      <x:c r="J18" s="12" t="str"/>
      <x:c r="K18" s="12" t="str"/>
      <x:c r="L18" s="12" t="str"/>
    </x:row>
    <x:row r="19">
      <x:c r="A19" s="12" t="str">
        <x:v>EC-018</x:v>
      </x:c>
      <x:c r="B19" s="12" t="str">
        <x:v>Canvas</x:v>
      </x:c>
      <x:c r="C19" s="12" t="str">
        <x:v>Network offline</x:v>
      </x:c>
      <x:c r="D19" s="12" t="str">
        <x:v>API unavailable</x:v>
      </x:c>
      <x:c r="E19" s="12" t="str">
        <x:v>Edit while autosave fires</x:v>
      </x:c>
      <x:c r="F19" s="12" t="str">
        <x:v>Visible autosave error; local work not lost; retry possible.</x:v>
      </x:c>
      <x:c r="G19" s="12" t="str">
        <x:v>P0</x:v>
      </x:c>
      <x:c r="H19" s="12" t="str"/>
      <x:c r="I19" s="12" t="str">
        <x:v>Not Tested</x:v>
      </x:c>
      <x:c r="J19" s="12" t="str"/>
      <x:c r="K19" s="12" t="str"/>
      <x:c r="L19" s="12" t="str"/>
    </x:row>
    <x:row r="20">
      <x:c r="A20" s="12" t="str">
        <x:v>EC-019</x:v>
      </x:c>
      <x:c r="B20" s="12" t="str">
        <x:v>Canvas</x:v>
      </x:c>
      <x:c r="C20" s="12" t="str">
        <x:v>Duplicate IDs</x:v>
      </x:c>
      <x:c r="D20" s="12" t="str">
        <x:v>Repeated apply/copy</x:v>
      </x:c>
      <x:c r="E20" s="12" t="str">
        <x:v>Apply template/copy design many times</x:v>
      </x:c>
      <x:c r="F20" s="12" t="str">
        <x:v>All Canvas/Column/Feature IDs remain unique.</x:v>
      </x:c>
      <x:c r="G20" s="12" t="str">
        <x:v>P0</x:v>
      </x:c>
      <x:c r="H20" s="12" t="str"/>
      <x:c r="I20" s="12" t="str">
        <x:v>Not Tested</x:v>
      </x:c>
      <x:c r="J20" s="12" t="str"/>
      <x:c r="K20" s="12" t="str"/>
      <x:c r="L20" s="12" t="str"/>
    </x:row>
    <x:row r="21">
      <x:c r="A21" s="12" t="str">
        <x:v>EC-020</x:v>
      </x:c>
      <x:c r="B21" s="12" t="str">
        <x:v>Canvas</x:v>
      </x:c>
      <x:c r="C21" s="12" t="str">
        <x:v>Feature drag during scroll</x:v>
      </x:c>
      <x:c r="D21" s="12" t="str">
        <x:v>Long canvas</x:v>
      </x:c>
      <x:c r="E21" s="12" t="str">
        <x:v>Drag feature far down</x:v>
      </x:c>
      <x:c r="F21" s="12" t="str">
        <x:v>Auto-scroll/drop target remains clear.</x:v>
      </x:c>
      <x:c r="G21" s="12" t="str">
        <x:v>P1</x:v>
      </x:c>
      <x:c r="H21" s="12" t="str"/>
      <x:c r="I21" s="12" t="str">
        <x:v>Not Tested</x:v>
      </x:c>
      <x:c r="J21" s="12" t="str"/>
      <x:c r="K21" s="12" t="str"/>
      <x:c r="L21" s="12" t="str"/>
    </x:row>
    <x:row r="22">
      <x:c r="A22" s="12" t="str">
        <x:v>EC-021</x:v>
      </x:c>
      <x:c r="B22" s="12" t="str">
        <x:v>Gradient</x:v>
      </x:c>
      <x:c r="C22" s="12" t="str">
        <x:v>Angle 0°</x:v>
      </x:c>
      <x:c r="D22" s="12" t="str">
        <x:v>Feature supports gradient</x:v>
      </x:c>
      <x:c r="E22" s="12" t="str">
        <x:v>Set gradient angle 0</x:v>
      </x:c>
      <x:c r="F22" s="12" t="str">
        <x:v>Editor/Preview/Public match exactly.</x:v>
      </x:c>
      <x:c r="G22" s="12" t="str">
        <x:v>P0</x:v>
      </x:c>
      <x:c r="H22" s="12" t="str">
        <x:v>SRC-03</x:v>
      </x:c>
      <x:c r="I22" s="12" t="str">
        <x:v>Not Tested</x:v>
      </x:c>
      <x:c r="J22" s="12" t="str"/>
      <x:c r="K22" s="12" t="str"/>
      <x:c r="L22" s="12" t="str"/>
    </x:row>
    <x:row r="23">
      <x:c r="A23" s="12" t="str">
        <x:v>EC-022</x:v>
      </x:c>
      <x:c r="B23" s="12" t="str">
        <x:v>Gradient</x:v>
      </x:c>
      <x:c r="C23" s="12" t="str">
        <x:v>Angle 90°</x:v>
      </x:c>
      <x:c r="D23" s="12" t="str">
        <x:v>Feature supports gradient</x:v>
      </x:c>
      <x:c r="E23" s="12" t="str">
        <x:v>Set gradient angle 90</x:v>
      </x:c>
      <x:c r="F23" s="12" t="str">
        <x:v>Editor/Preview/Public match exactly.</x:v>
      </x:c>
      <x:c r="G23" s="12" t="str">
        <x:v>P0</x:v>
      </x:c>
      <x:c r="H23" s="12" t="str">
        <x:v>SRC-03</x:v>
      </x:c>
      <x:c r="I23" s="12" t="str">
        <x:v>Not Tested</x:v>
      </x:c>
      <x:c r="J23" s="12" t="str"/>
      <x:c r="K23" s="12" t="str"/>
      <x:c r="L23" s="12" t="str"/>
    </x:row>
    <x:row r="24">
      <x:c r="A24" s="12" t="str">
        <x:v>EC-023</x:v>
      </x:c>
      <x:c r="B24" s="12" t="str">
        <x:v>Gradient</x:v>
      </x:c>
      <x:c r="C24" s="12" t="str">
        <x:v>Angle 180°</x:v>
      </x:c>
      <x:c r="D24" s="12" t="str">
        <x:v>Feature supports gradient</x:v>
      </x:c>
      <x:c r="E24" s="12" t="str">
        <x:v>Set gradient angle 180</x:v>
      </x:c>
      <x:c r="F24" s="12" t="str">
        <x:v>Editor/Preview/Public match exactly.</x:v>
      </x:c>
      <x:c r="G24" s="12" t="str">
        <x:v>P0</x:v>
      </x:c>
      <x:c r="H24" s="12" t="str">
        <x:v>SRC-03</x:v>
      </x:c>
      <x:c r="I24" s="12" t="str">
        <x:v>Not Tested</x:v>
      </x:c>
      <x:c r="J24" s="12" t="str"/>
      <x:c r="K24" s="12" t="str"/>
      <x:c r="L24" s="12" t="str"/>
    </x:row>
    <x:row r="25">
      <x:c r="A25" s="12" t="str">
        <x:v>EC-024</x:v>
      </x:c>
      <x:c r="B25" s="12" t="str">
        <x:v>Gradient</x:v>
      </x:c>
      <x:c r="C25" s="12" t="str">
        <x:v>Angle 270°</x:v>
      </x:c>
      <x:c r="D25" s="12" t="str">
        <x:v>Feature supports gradient</x:v>
      </x:c>
      <x:c r="E25" s="12" t="str">
        <x:v>Set gradient angle 270</x:v>
      </x:c>
      <x:c r="F25" s="12" t="str">
        <x:v>Editor/Preview/Public match exactly.</x:v>
      </x:c>
      <x:c r="G25" s="12" t="str">
        <x:v>P0</x:v>
      </x:c>
      <x:c r="H25" s="12" t="str">
        <x:v>SRC-03</x:v>
      </x:c>
      <x:c r="I25" s="12" t="str">
        <x:v>Not Tested</x:v>
      </x:c>
      <x:c r="J25" s="12" t="str"/>
      <x:c r="K25" s="12" t="str"/>
      <x:c r="L25" s="12" t="str"/>
    </x:row>
    <x:row r="26">
      <x:c r="A26" s="12" t="str">
        <x:v>EC-025</x:v>
      </x:c>
      <x:c r="B26" s="12" t="str">
        <x:v>Gradient</x:v>
      </x:c>
      <x:c r="C26" s="12" t="str">
        <x:v>Angle 360°</x:v>
      </x:c>
      <x:c r="D26" s="12" t="str">
        <x:v>Feature supports gradient</x:v>
      </x:c>
      <x:c r="E26" s="12" t="str">
        <x:v>Set gradient angle 360</x:v>
      </x:c>
      <x:c r="F26" s="12" t="str">
        <x:v>Editor/Preview/Public match exactly.</x:v>
      </x:c>
      <x:c r="G26" s="12" t="str">
        <x:v>P0</x:v>
      </x:c>
      <x:c r="H26" s="12" t="str">
        <x:v>SRC-03</x:v>
      </x:c>
      <x:c r="I26" s="12" t="str">
        <x:v>Not Tested</x:v>
      </x:c>
      <x:c r="J26" s="12" t="str"/>
      <x:c r="K26" s="12" t="str"/>
      <x:c r="L26" s="12" t="str"/>
    </x:row>
    <x:row r="27">
      <x:c r="A27" s="12" t="str">
        <x:v>EC-026</x:v>
      </x:c>
      <x:c r="B27" s="12" t="str">
        <x:v>Gradient</x:v>
      </x:c>
      <x:c r="C27" s="12" t="str">
        <x:v>Same from/to color</x:v>
      </x:c>
      <x:c r="D27" s="12" t="str">
        <x:v>Same hex both stops</x:v>
      </x:c>
      <x:c r="E27" s="12" t="str">
        <x:v>Enable gradient</x:v>
      </x:c>
      <x:c r="F27" s="12" t="str">
        <x:v>Looks like stable solid color; no flicker/error.</x:v>
      </x:c>
      <x:c r="G27" s="12" t="str">
        <x:v>P1</x:v>
      </x:c>
      <x:c r="H27" s="12" t="str">
        <x:v>SRC-03</x:v>
      </x:c>
      <x:c r="I27" s="12" t="str">
        <x:v>Not Tested</x:v>
      </x:c>
      <x:c r="J27" s="12" t="str"/>
      <x:c r="K27" s="12" t="str"/>
      <x:c r="L27" s="12" t="str"/>
    </x:row>
    <x:row r="28">
      <x:c r="A28" s="12" t="str">
        <x:v>EC-027</x:v>
      </x:c>
      <x:c r="B28" s="12" t="str">
        <x:v>Gradient</x:v>
      </x:c>
      <x:c r="C28" s="12" t="str">
        <x:v>High-contrast colors</x:v>
      </x:c>
      <x:c r="D28" s="12" t="str">
        <x:v>Black ↔ white</x:v>
      </x:c>
      <x:c r="E28" s="12" t="str">
        <x:v>Enable gradient</x:v>
      </x:c>
      <x:c r="F28" s="12" t="str">
        <x:v>Text remains readable or warning/overlay guidance shown.</x:v>
      </x:c>
      <x:c r="G28" s="12" t="str">
        <x:v>P1</x:v>
      </x:c>
      <x:c r="H28" s="12" t="str">
        <x:v>SRC-03</x:v>
      </x:c>
      <x:c r="I28" s="12" t="str">
        <x:v>Not Tested</x:v>
      </x:c>
      <x:c r="J28" s="12" t="str"/>
      <x:c r="K28" s="12" t="str"/>
      <x:c r="L28" s="12" t="str"/>
    </x:row>
    <x:row r="29">
      <x:c r="A29" s="12" t="str">
        <x:v>EC-028</x:v>
      </x:c>
      <x:c r="B29" s="12" t="str">
        <x:v>Gradient</x:v>
      </x:c>
      <x:c r="C29" s="12" t="str">
        <x:v>Greetings gradient</x:v>
      </x:c>
      <x:c r="D29" s="12" t="str">
        <x:v>Greetings feature</x:v>
      </x:c>
      <x:c r="E29" s="12" t="str">
        <x:v>Set strong red→blue gradient</x:v>
      </x:c>
      <x:c r="F29" s="12" t="str">
        <x:v>Gradient visible as intended card/surface, not hidden by white inner cards.</x:v>
      </x:c>
      <x:c r="G29" s="12" t="str">
        <x:v>P0</x:v>
      </x:c>
      <x:c r="H29" s="12" t="str">
        <x:v>SRC-03</x:v>
      </x:c>
      <x:c r="I29" s="12" t="str">
        <x:v>Not Tested</x:v>
      </x:c>
      <x:c r="J29" s="12" t="str"/>
      <x:c r="K29" s="12" t="str"/>
      <x:c r="L29" s="12" t="str"/>
    </x:row>
    <x:row r="30">
      <x:c r="A30" s="12" t="str">
        <x:v>EC-029</x:v>
      </x:c>
      <x:c r="B30" s="12" t="str">
        <x:v>Gradient</x:v>
      </x:c>
      <x:c r="C30" s="12" t="str">
        <x:v>Buka Undangan gradient</x:v>
      </x:c>
      <x:c r="D30" s="12" t="str">
        <x:v>Opening feature</x:v>
      </x:c>
      <x:c r="E30" s="12" t="str">
        <x:v>Set gradient</x:v>
      </x:c>
      <x:c r="F30" s="12" t="str">
        <x:v>Editor/Preview/Public opening use same gradient.</x:v>
      </x:c>
      <x:c r="G30" s="12" t="str">
        <x:v>P0</x:v>
      </x:c>
      <x:c r="H30" s="12" t="str">
        <x:v>SRC-03</x:v>
      </x:c>
      <x:c r="I30" s="12" t="str">
        <x:v>Not Tested</x:v>
      </x:c>
      <x:c r="J30" s="12" t="str"/>
      <x:c r="K30" s="12" t="str"/>
      <x:c r="L30" s="12" t="str"/>
    </x:row>
    <x:row r="31">
      <x:c r="A31" s="12" t="str">
        <x:v>EC-030</x:v>
      </x:c>
      <x:c r="B31" s="12" t="str">
        <x:v>Gradient</x:v>
      </x:c>
      <x:c r="C31" s="12" t="str">
        <x:v>Sound gradient</x:v>
      </x:c>
      <x:c r="D31" s="12" t="str">
        <x:v>Sound feature</x:v>
      </x:c>
      <x:c r="E31" s="12" t="str">
        <x:v>Set gradient</x:v>
      </x:c>
      <x:c r="F31" s="12" t="str">
        <x:v>Either player visual uses it or UI explicitly says background does not apply.</x:v>
      </x:c>
      <x:c r="G31" s="12" t="str">
        <x:v>P1</x:v>
      </x:c>
      <x:c r="H31" s="12" t="str">
        <x:v>SRC-03</x:v>
      </x:c>
      <x:c r="I31" s="12" t="str">
        <x:v>Not Tested</x:v>
      </x:c>
      <x:c r="J31" s="12" t="str"/>
      <x:c r="K31" s="12" t="str"/>
      <x:c r="L31" s="12" t="str"/>
    </x:row>
    <x:row r="32">
      <x:c r="A32" s="12" t="str">
        <x:v>EC-031</x:v>
      </x:c>
      <x:c r="B32" s="12" t="str">
        <x:v>Alignment</x:v>
      </x:c>
      <x:c r="C32" s="12" t="str">
        <x:v>Image object left/center/right</x:v>
      </x:c>
      <x:c r="D32" s="12" t="str">
        <x:v>Image in wide column</x:v>
      </x:c>
      <x:c r="E32" s="12" t="str">
        <x:v>Cycle feature alignment</x:v>
      </x:c>
      <x:c r="F32" s="12" t="str">
        <x:v>Whole feature/card aligns predictably; text alignment remains independent.</x:v>
      </x:c>
      <x:c r="G32" s="12" t="str">
        <x:v>P0</x:v>
      </x:c>
      <x:c r="H32" s="12" t="str">
        <x:v>SRC-02,SRC-10</x:v>
      </x:c>
      <x:c r="I32" s="12" t="str">
        <x:v>Not Tested</x:v>
      </x:c>
      <x:c r="J32" s="12" t="str"/>
      <x:c r="K32" s="12" t="str"/>
      <x:c r="L32" s="12" t="str"/>
    </x:row>
    <x:row r="33">
      <x:c r="A33" s="12" t="str">
        <x:v>EC-032</x:v>
      </x:c>
      <x:c r="B33" s="12" t="str">
        <x:v>Alignment</x:v>
      </x:c>
      <x:c r="C33" s="12" t="str">
        <x:v>Video object left/center/right</x:v>
      </x:c>
      <x:c r="D33" s="12" t="str">
        <x:v>Video in wide column</x:v>
      </x:c>
      <x:c r="E33" s="12" t="str">
        <x:v>Cycle feature alignment</x:v>
      </x:c>
      <x:c r="F33" s="12" t="str">
        <x:v>Whole feature/card aligns predictably; text alignment remains independent.</x:v>
      </x:c>
      <x:c r="G33" s="12" t="str">
        <x:v>P0</x:v>
      </x:c>
      <x:c r="H33" s="12" t="str">
        <x:v>SRC-02,SRC-10</x:v>
      </x:c>
      <x:c r="I33" s="12" t="str">
        <x:v>Not Tested</x:v>
      </x:c>
      <x:c r="J33" s="12" t="str"/>
      <x:c r="K33" s="12" t="str"/>
      <x:c r="L33" s="12" t="str"/>
    </x:row>
    <x:row r="34">
      <x:c r="A34" s="12" t="str">
        <x:v>EC-033</x:v>
      </x:c>
      <x:c r="B34" s="12" t="str">
        <x:v>Alignment</x:v>
      </x:c>
      <x:c r="C34" s="12" t="str">
        <x:v>Gallery object left/center/right</x:v>
      </x:c>
      <x:c r="D34" s="12" t="str">
        <x:v>Gallery in wide column</x:v>
      </x:c>
      <x:c r="E34" s="12" t="str">
        <x:v>Cycle feature alignment</x:v>
      </x:c>
      <x:c r="F34" s="12" t="str">
        <x:v>Whole feature/card aligns predictably; text alignment remains independent.</x:v>
      </x:c>
      <x:c r="G34" s="12" t="str">
        <x:v>P0</x:v>
      </x:c>
      <x:c r="H34" s="12" t="str">
        <x:v>SRC-02,SRC-10</x:v>
      </x:c>
      <x:c r="I34" s="12" t="str">
        <x:v>Not Tested</x:v>
      </x:c>
      <x:c r="J34" s="12" t="str"/>
      <x:c r="K34" s="12" t="str"/>
      <x:c r="L34" s="12" t="str"/>
    </x:row>
    <x:row r="35">
      <x:c r="A35" s="12" t="str">
        <x:v>EC-034</x:v>
      </x:c>
      <x:c r="B35" s="12" t="str">
        <x:v>Alignment</x:v>
      </x:c>
      <x:c r="C35" s="12" t="str">
        <x:v>Greetings object left/center/right</x:v>
      </x:c>
      <x:c r="D35" s="12" t="str">
        <x:v>Greetings in wide column</x:v>
      </x:c>
      <x:c r="E35" s="12" t="str">
        <x:v>Cycle feature alignment</x:v>
      </x:c>
      <x:c r="F35" s="12" t="str">
        <x:v>Whole feature/card aligns predictably; text alignment remains independent.</x:v>
      </x:c>
      <x:c r="G35" s="12" t="str">
        <x:v>P0</x:v>
      </x:c>
      <x:c r="H35" s="12" t="str">
        <x:v>SRC-02,SRC-10</x:v>
      </x:c>
      <x:c r="I35" s="12" t="str">
        <x:v>Not Tested</x:v>
      </x:c>
      <x:c r="J35" s="12" t="str"/>
      <x:c r="K35" s="12" t="str"/>
      <x:c r="L35" s="12" t="str"/>
    </x:row>
    <x:row r="36">
      <x:c r="A36" s="12" t="str">
        <x:v>EC-035</x:v>
      </x:c>
      <x:c r="B36" s="12" t="str">
        <x:v>Alignment</x:v>
      </x:c>
      <x:c r="C36" s="12" t="str">
        <x:v>Form object left/center/right</x:v>
      </x:c>
      <x:c r="D36" s="12" t="str">
        <x:v>Form in wide column</x:v>
      </x:c>
      <x:c r="E36" s="12" t="str">
        <x:v>Cycle feature alignment</x:v>
      </x:c>
      <x:c r="F36" s="12" t="str">
        <x:v>Whole feature/card aligns predictably; text alignment remains independent.</x:v>
      </x:c>
      <x:c r="G36" s="12" t="str">
        <x:v>P0</x:v>
      </x:c>
      <x:c r="H36" s="12" t="str">
        <x:v>SRC-02,SRC-10</x:v>
      </x:c>
      <x:c r="I36" s="12" t="str">
        <x:v>Not Tested</x:v>
      </x:c>
      <x:c r="J36" s="12" t="str"/>
      <x:c r="K36" s="12" t="str"/>
      <x:c r="L36" s="12" t="str"/>
    </x:row>
    <x:row r="37">
      <x:c r="A37" s="12" t="str">
        <x:v>EC-036</x:v>
      </x:c>
      <x:c r="B37" s="12" t="str">
        <x:v>Alignment</x:v>
      </x:c>
      <x:c r="C37" s="12" t="str">
        <x:v>Event object left/center/right</x:v>
      </x:c>
      <x:c r="D37" s="12" t="str">
        <x:v>Event in wide column</x:v>
      </x:c>
      <x:c r="E37" s="12" t="str">
        <x:v>Cycle feature alignment</x:v>
      </x:c>
      <x:c r="F37" s="12" t="str">
        <x:v>Whole feature/card aligns predictably; text alignment remains independent.</x:v>
      </x:c>
      <x:c r="G37" s="12" t="str">
        <x:v>P0</x:v>
      </x:c>
      <x:c r="H37" s="12" t="str">
        <x:v>SRC-02,SRC-10</x:v>
      </x:c>
      <x:c r="I37" s="12" t="str">
        <x:v>Not Tested</x:v>
      </x:c>
      <x:c r="J37" s="12" t="str"/>
      <x:c r="K37" s="12" t="str"/>
      <x:c r="L37" s="12" t="str"/>
    </x:row>
    <x:row r="38">
      <x:c r="A38" s="12" t="str">
        <x:v>EC-037</x:v>
      </x:c>
      <x:c r="B38" s="12" t="str">
        <x:v>Alignment</x:v>
      </x:c>
      <x:c r="C38" s="12" t="str">
        <x:v>Quote object left/center/right</x:v>
      </x:c>
      <x:c r="D38" s="12" t="str">
        <x:v>Quote in wide column</x:v>
      </x:c>
      <x:c r="E38" s="12" t="str">
        <x:v>Cycle feature alignment</x:v>
      </x:c>
      <x:c r="F38" s="12" t="str">
        <x:v>Whole feature/card aligns predictably; text alignment remains independent.</x:v>
      </x:c>
      <x:c r="G38" s="12" t="str">
        <x:v>P0</x:v>
      </x:c>
      <x:c r="H38" s="12" t="str">
        <x:v>SRC-02,SRC-10</x:v>
      </x:c>
      <x:c r="I38" s="12" t="str">
        <x:v>Not Tested</x:v>
      </x:c>
      <x:c r="J38" s="12" t="str"/>
      <x:c r="K38" s="12" t="str"/>
      <x:c r="L38" s="12" t="str"/>
    </x:row>
    <x:row r="39">
      <x:c r="A39" s="12" t="str">
        <x:v>EC-038</x:v>
      </x:c>
      <x:c r="B39" s="12" t="str">
        <x:v>Alignment</x:v>
      </x:c>
      <x:c r="C39" s="12" t="str">
        <x:v>Gift object left/center/right</x:v>
      </x:c>
      <x:c r="D39" s="12" t="str">
        <x:v>Gift in wide column</x:v>
      </x:c>
      <x:c r="E39" s="12" t="str">
        <x:v>Cycle feature alignment</x:v>
      </x:c>
      <x:c r="F39" s="12" t="str">
        <x:v>Whole feature/card aligns predictably; text alignment remains independent.</x:v>
      </x:c>
      <x:c r="G39" s="12" t="str">
        <x:v>P0</x:v>
      </x:c>
      <x:c r="H39" s="12" t="str">
        <x:v>SRC-02,SRC-10</x:v>
      </x:c>
      <x:c r="I39" s="12" t="str">
        <x:v>Not Tested</x:v>
      </x:c>
      <x:c r="J39" s="12" t="str"/>
      <x:c r="K39" s="12" t="str"/>
      <x:c r="L39" s="12" t="str"/>
    </x:row>
    <x:row r="40">
      <x:c r="A40" s="12" t="str">
        <x:v>EC-039</x:v>
      </x:c>
      <x:c r="B40" s="12" t="str">
        <x:v>Alignment</x:v>
      </x:c>
      <x:c r="C40" s="12" t="str">
        <x:v>Countdown object left/center/right</x:v>
      </x:c>
      <x:c r="D40" s="12" t="str">
        <x:v>Countdown in wide column</x:v>
      </x:c>
      <x:c r="E40" s="12" t="str">
        <x:v>Cycle feature alignment</x:v>
      </x:c>
      <x:c r="F40" s="12" t="str">
        <x:v>Whole feature/card aligns predictably; text alignment remains independent.</x:v>
      </x:c>
      <x:c r="G40" s="12" t="str">
        <x:v>P0</x:v>
      </x:c>
      <x:c r="H40" s="12" t="str">
        <x:v>SRC-02,SRC-10</x:v>
      </x:c>
      <x:c r="I40" s="12" t="str">
        <x:v>Not Tested</x:v>
      </x:c>
      <x:c r="J40" s="12" t="str"/>
      <x:c r="K40" s="12" t="str"/>
      <x:c r="L40" s="12" t="str"/>
    </x:row>
    <x:row r="41">
      <x:c r="A41" s="12" t="str">
        <x:v>EC-040</x:v>
      </x:c>
      <x:c r="B41" s="12" t="str">
        <x:v>Alignment</x:v>
      </x:c>
      <x:c r="C41" s="12" t="str">
        <x:v>Location object left/center/right</x:v>
      </x:c>
      <x:c r="D41" s="12" t="str">
        <x:v>Location in wide column</x:v>
      </x:c>
      <x:c r="E41" s="12" t="str">
        <x:v>Cycle feature alignment</x:v>
      </x:c>
      <x:c r="F41" s="12" t="str">
        <x:v>Whole feature/card aligns predictably; text alignment remains independent.</x:v>
      </x:c>
      <x:c r="G41" s="12" t="str">
        <x:v>P0</x:v>
      </x:c>
      <x:c r="H41" s="12" t="str">
        <x:v>SRC-02,SRC-10</x:v>
      </x:c>
      <x:c r="I41" s="12" t="str">
        <x:v>Not Tested</x:v>
      </x:c>
      <x:c r="J41" s="12" t="str"/>
      <x:c r="K41" s="12" t="str"/>
      <x:c r="L41" s="12" t="str"/>
    </x:row>
    <x:row r="42">
      <x:c r="A42" s="12" t="str">
        <x:v>EC-041</x:v>
      </x:c>
      <x:c r="B42" s="12" t="str">
        <x:v>Alignment</x:v>
      </x:c>
      <x:c r="C42" s="12" t="str">
        <x:v>Buka Undangan object left/center/right</x:v>
      </x:c>
      <x:c r="D42" s="12" t="str">
        <x:v>Buka Undangan in wide column</x:v>
      </x:c>
      <x:c r="E42" s="12" t="str">
        <x:v>Cycle feature alignment</x:v>
      </x:c>
      <x:c r="F42" s="12" t="str">
        <x:v>Whole feature/card aligns predictably; text alignment remains independent.</x:v>
      </x:c>
      <x:c r="G42" s="12" t="str">
        <x:v>P0</x:v>
      </x:c>
      <x:c r="H42" s="12" t="str">
        <x:v>SRC-02,SRC-10</x:v>
      </x:c>
      <x:c r="I42" s="12" t="str">
        <x:v>Not Tested</x:v>
      </x:c>
      <x:c r="J42" s="12" t="str"/>
      <x:c r="K42" s="12" t="str"/>
      <x:c r="L42" s="12" t="str"/>
    </x:row>
    <x:row r="43">
      <x:c r="A43" s="12" t="str">
        <x:v>EC-042</x:v>
      </x:c>
      <x:c r="B43" s="12" t="str">
        <x:v>Alignment</x:v>
      </x:c>
      <x:c r="C43" s="12" t="str">
        <x:v>Full width + center</x:v>
      </x:c>
      <x:c r="D43" s="12" t="str">
        <x:v>Gallery full-width enabled</x:v>
      </x:c>
      <x:c r="E43" s="12" t="str">
        <x:v>Set center</x:v>
      </x:c>
      <x:c r="F43" s="12" t="str">
        <x:v>No contradictory control; UI disables or explains alignment when full-width.</x:v>
      </x:c>
      <x:c r="G43" s="12" t="str">
        <x:v>P1</x:v>
      </x:c>
      <x:c r="H43" s="12" t="str"/>
      <x:c r="I43" s="12" t="str">
        <x:v>Not Tested</x:v>
      </x:c>
      <x:c r="J43" s="12" t="str"/>
      <x:c r="K43" s="12" t="str"/>
      <x:c r="L43" s="12" t="str"/>
    </x:row>
    <x:row r="44">
      <x:c r="A44" s="12" t="str">
        <x:v>EC-043</x:v>
      </x:c>
      <x:c r="B44" s="12" t="str">
        <x:v>Alignment</x:v>
      </x:c>
      <x:c r="C44" s="12" t="str">
        <x:v>Mobile alignment</x:v>
      </x:c>
      <x:c r="D44" s="12" t="str">
        <x:v>Feature right-aligned desktop</x:v>
      </x:c>
      <x:c r="E44" s="12" t="str">
        <x:v>Preview 375px</x:v>
      </x:c>
      <x:c r="F44" s="12" t="str">
        <x:v>Responsive fallback is intentional and does not clip content.</x:v>
      </x:c>
      <x:c r="G44" s="12" t="str">
        <x:v>P0</x:v>
      </x:c>
      <x:c r="H44" s="12" t="str">
        <x:v>SRC-14</x:v>
      </x:c>
      <x:c r="I44" s="12" t="str">
        <x:v>Not Tested</x:v>
      </x:c>
      <x:c r="J44" s="12" t="str"/>
      <x:c r="K44" s="12" t="str"/>
      <x:c r="L44" s="12" t="str"/>
    </x:row>
    <x:row r="45">
      <x:c r="A45" s="12" t="str">
        <x:v>EC-044</x:v>
      </x:c>
      <x:c r="B45" s="12" t="str">
        <x:v>Greetings</x:v>
      </x:c>
      <x:c r="C45" s="12" t="str">
        <x:v>No greetings</x:v>
      </x:c>
      <x:c r="D45" s="12" t="str">
        <x:v>Empty list</x:v>
      </x:c>
      <x:c r="E45" s="12" t="str">
        <x:v>Preview</x:v>
      </x:c>
      <x:c r="F45" s="12" t="str">
        <x:v>Empty list has intentional placeholder, not blank broken space.</x:v>
      </x:c>
      <x:c r="G45" s="12" t="str">
        <x:v>P1</x:v>
      </x:c>
      <x:c r="H45" s="12" t="str"/>
      <x:c r="I45" s="12" t="str">
        <x:v>Not Tested</x:v>
      </x:c>
      <x:c r="J45" s="12" t="str"/>
      <x:c r="K45" s="12" t="str"/>
      <x:c r="L45" s="12" t="str"/>
    </x:row>
    <x:row r="46">
      <x:c r="A46" s="12" t="str">
        <x:v>EC-045</x:v>
      </x:c>
      <x:c r="B46" s="12" t="str">
        <x:v>Greetings</x:v>
      </x:c>
      <x:c r="C46" s="12" t="str">
        <x:v>100 greetings</x:v>
      </x:c>
      <x:c r="D46" s="12" t="str">
        <x:v>Large list</x:v>
      </x:c>
      <x:c r="E46" s="12" t="str">
        <x:v>Open feature</x:v>
      </x:c>
      <x:c r="F46" s="12" t="str">
        <x:v>Scrolling/performance acceptable; no huge page growth.</x:v>
      </x:c>
      <x:c r="G46" s="12" t="str">
        <x:v>P1</x:v>
      </x:c>
      <x:c r="H46" s="12" t="str"/>
      <x:c r="I46" s="12" t="str">
        <x:v>Not Tested</x:v>
      </x:c>
      <x:c r="J46" s="12" t="str"/>
      <x:c r="K46" s="12" t="str"/>
      <x:c r="L46" s="12" t="str"/>
    </x:row>
    <x:row r="47">
      <x:c r="A47" s="12" t="str">
        <x:v>EC-046</x:v>
      </x:c>
      <x:c r="B47" s="12" t="str">
        <x:v>Greetings</x:v>
      </x:c>
      <x:c r="C47" s="12" t="str">
        <x:v>Long name/message</x:v>
      </x:c>
      <x:c r="D47" s="12" t="str">
        <x:v>100-char name + 1000-char message</x:v>
      </x:c>
      <x:c r="E47" s="12" t="str">
        <x:v>Submit/display</x:v>
      </x:c>
      <x:c r="F47" s="12" t="str">
        <x:v>Wrap safely; layout not broken.</x:v>
      </x:c>
      <x:c r="G47" s="12" t="str">
        <x:v>P1</x:v>
      </x:c>
      <x:c r="H47" s="12" t="str"/>
      <x:c r="I47" s="12" t="str">
        <x:v>Not Tested</x:v>
      </x:c>
      <x:c r="J47" s="12" t="str"/>
      <x:c r="K47" s="12" t="str"/>
      <x:c r="L47" s="12" t="str"/>
    </x:row>
    <x:row r="48">
      <x:c r="A48" s="12" t="str">
        <x:v>EC-047</x:v>
      </x:c>
      <x:c r="B48" s="12" t="str">
        <x:v>Greetings</x:v>
      </x:c>
      <x:c r="C48" s="12" t="str">
        <x:v>Emoji / Unicode</x:v>
      </x:c>
      <x:c r="D48" s="12" t="str">
        <x:v>Emoji + accented chars</x:v>
      </x:c>
      <x:c r="E48" s="12" t="str">
        <x:v>Submit/display</x:v>
      </x:c>
      <x:c r="F48" s="12" t="str">
        <x:v>Stored/rendered correctly.</x:v>
      </x:c>
      <x:c r="G48" s="12" t="str">
        <x:v>P1</x:v>
      </x:c>
      <x:c r="H48" s="12" t="str"/>
      <x:c r="I48" s="12" t="str">
        <x:v>Not Tested</x:v>
      </x:c>
      <x:c r="J48" s="12" t="str"/>
      <x:c r="K48" s="12" t="str"/>
      <x:c r="L48" s="12" t="str"/>
    </x:row>
    <x:row r="49">
      <x:c r="A49" s="12" t="str">
        <x:v>EC-048</x:v>
      </x:c>
      <x:c r="B49" s="12" t="str">
        <x:v>Greetings</x:v>
      </x:c>
      <x:c r="C49" s="12" t="str">
        <x:v>Script-like content</x:v>
      </x:c>
      <x:c r="D49" s="12" t="str">
        <x:v>&lt;script&gt;…&lt;/script&gt;</x:v>
      </x:c>
      <x:c r="E49" s="12" t="str">
        <x:v>Submit/display</x:v>
      </x:c>
      <x:c r="F49" s="12" t="str">
        <x:v>Rendered as text/sanitized; no script execution.</x:v>
      </x:c>
      <x:c r="G49" s="12" t="str">
        <x:v>P0</x:v>
      </x:c>
      <x:c r="H49" s="12" t="str"/>
      <x:c r="I49" s="12" t="str">
        <x:v>Not Tested</x:v>
      </x:c>
      <x:c r="J49" s="12" t="str"/>
      <x:c r="K49" s="12" t="str"/>
      <x:c r="L49" s="12" t="str"/>
    </x:row>
    <x:row r="50">
      <x:c r="A50" s="12" t="str">
        <x:v>EC-049</x:v>
      </x:c>
      <x:c r="B50" s="12" t="str">
        <x:v>Greetings</x:v>
      </x:c>
      <x:c r="C50" s="12" t="str">
        <x:v>Gradient + compact</x:v>
      </x:c>
      <x:c r="D50" s="12" t="str">
        <x:v>Compact editor widget</x:v>
      </x:c>
      <x:c r="E50" s="12" t="str">
        <x:v>Enable gradient</x:v>
      </x:c>
      <x:c r="F50" s="12" t="str">
        <x:v>Card theme remains readable and gradient visible.</x:v>
      </x:c>
      <x:c r="G50" s="12" t="str">
        <x:v>P0</x:v>
      </x:c>
      <x:c r="H50" s="12" t="str"/>
      <x:c r="I50" s="12" t="str">
        <x:v>Not Tested</x:v>
      </x:c>
      <x:c r="J50" s="12" t="str"/>
      <x:c r="K50" s="12" t="str"/>
      <x:c r="L50" s="12" t="str"/>
    </x:row>
    <x:row r="51">
      <x:c r="A51" s="12" t="str">
        <x:v>EC-050</x:v>
      </x:c>
      <x:c r="B51" s="12" t="str">
        <x:v>Preview</x:v>
      </x:c>
      <x:c r="C51" s="12" t="str">
        <x:v>Edited applied template</x:v>
      </x:c>
      <x:c r="D51" s="12" t="str">
        <x:v>Use template then change colors/text</x:v>
      </x:c>
      <x:c r="E51" s="12" t="str">
        <x:v>Return Templates page</x:v>
      </x:c>
      <x:c r="F51" s="12" t="str">
        <x:v>Website design card preview updates to actual saved appearance.</x:v>
      </x:c>
      <x:c r="G51" s="12" t="str">
        <x:v>P0</x:v>
      </x:c>
      <x:c r="H51" s="12" t="str">
        <x:v>SRC-12,SRC-13</x:v>
      </x:c>
      <x:c r="I51" s="12" t="str">
        <x:v>Not Tested</x:v>
      </x:c>
      <x:c r="J51" s="12" t="str"/>
      <x:c r="K51" s="12" t="str"/>
      <x:c r="L51" s="12" t="str"/>
    </x:row>
    <x:row r="52">
      <x:c r="A52" s="12" t="str">
        <x:v>EC-051</x:v>
      </x:c>
      <x:c r="B52" s="12" t="str">
        <x:v>Preview</x:v>
      </x:c>
      <x:c r="C52" s="12" t="str">
        <x:v>Multi-canvas design</x:v>
      </x:c>
      <x:c r="D52" s="12" t="str">
        <x:v>4 canvases</x:v>
      </x:c>
      <x:c r="E52" s="12" t="str">
        <x:v>View card preview</x:v>
      </x:c>
      <x:c r="F52" s="12" t="str">
        <x:v>Thumbnail represents whole design or clear hero snapshot, not generic preset art.</x:v>
      </x:c>
      <x:c r="G52" s="12" t="str">
        <x:v>P0</x:v>
      </x:c>
      <x:c r="H52" s="12" t="str">
        <x:v>SRC-12</x:v>
      </x:c>
      <x:c r="I52" s="12" t="str">
        <x:v>Not Tested</x:v>
      </x:c>
      <x:c r="J52" s="12" t="str"/>
      <x:c r="K52" s="12" t="str"/>
      <x:c r="L52" s="12" t="str"/>
    </x:row>
    <x:row r="53">
      <x:c r="A53" s="12" t="str">
        <x:v>EC-052</x:v>
      </x:c>
      <x:c r="B53" s="12" t="str">
        <x:v>Preview</x:v>
      </x:c>
      <x:c r="C53" s="12" t="str">
        <x:v>Custom design no template</x:v>
      </x:c>
      <x:c r="D53" s="12" t="str">
        <x:v>Blank canvas customized</x:v>
      </x:c>
      <x:c r="E53" s="12" t="str">
        <x:v>View card preview</x:v>
      </x:c>
      <x:c r="F53" s="12" t="str">
        <x:v>Preview generated from actual custom Canvas.</x:v>
      </x:c>
      <x:c r="G53" s="12" t="str">
        <x:v>P0</x:v>
      </x:c>
      <x:c r="H53" s="12" t="str"/>
      <x:c r="I53" s="12" t="str">
        <x:v>Not Tested</x:v>
      </x:c>
      <x:c r="J53" s="12" t="str"/>
      <x:c r="K53" s="12" t="str"/>
      <x:c r="L53" s="12" t="str"/>
    </x:row>
    <x:row r="54">
      <x:c r="A54" s="12" t="str">
        <x:v>EC-053</x:v>
      </x:c>
      <x:c r="B54" s="12" t="str">
        <x:v>Preview</x:v>
      </x:c>
      <x:c r="C54" s="12" t="str">
        <x:v>Unsaved changes</x:v>
      </x:c>
      <x:c r="D54" s="12" t="str">
        <x:v>Edit but do not save</x:v>
      </x:c>
      <x:c r="E54" s="12" t="str">
        <x:v>Return/cancel</x:v>
      </x:c>
      <x:c r="F54" s="12" t="str">
        <x:v>Card preview shows last saved version, with clear unsaved handling.</x:v>
      </x:c>
      <x:c r="G54" s="12" t="str">
        <x:v>P1</x:v>
      </x:c>
      <x:c r="H54" s="12" t="str"/>
      <x:c r="I54" s="12" t="str">
        <x:v>Not Tested</x:v>
      </x:c>
      <x:c r="J54" s="12" t="str"/>
      <x:c r="K54" s="12" t="str"/>
      <x:c r="L54" s="12" t="str"/>
    </x:row>
    <x:row r="55">
      <x:c r="A55" s="12" t="str">
        <x:v>EC-054</x:v>
      </x:c>
      <x:c r="B55" s="12" t="str">
        <x:v>Preview</x:v>
      </x:c>
      <x:c r="C55" s="12" t="str">
        <x:v>Broken media URL</x:v>
      </x:c>
      <x:c r="D55" s="12" t="str">
        <x:v>Saved canvas has missing image</x:v>
      </x:c>
      <x:c r="E55" s="12" t="str">
        <x:v>Render card</x:v>
      </x:c>
      <x:c r="F55" s="12" t="str">
        <x:v>Graceful fallback; card not blank/broken.</x:v>
      </x:c>
      <x:c r="G55" s="12" t="str">
        <x:v>P1</x:v>
      </x:c>
      <x:c r="H55" s="12" t="str"/>
      <x:c r="I55" s="12" t="str">
        <x:v>Not Tested</x:v>
      </x:c>
      <x:c r="J55" s="12" t="str"/>
      <x:c r="K55" s="12" t="str"/>
      <x:c r="L55" s="12" t="str"/>
    </x:row>
    <x:row r="56">
      <x:c r="A56" s="12" t="str">
        <x:v>EC-055</x:v>
      </x:c>
      <x:c r="B56" s="12" t="str">
        <x:v>Buka Undangan</x:v>
      </x:c>
      <x:c r="C56" s="12" t="str">
        <x:v>Button radius 0</x:v>
      </x:c>
      <x:c r="D56" s="12" t="str">
        <x:v>Opening feature</x:v>
      </x:c>
      <x:c r="E56" s="12" t="str">
        <x:v>Set radius 0</x:v>
      </x:c>
      <x:c r="F56" s="12" t="str">
        <x:v>Square button visible in editor/preview/public.</x:v>
      </x:c>
      <x:c r="G56" s="12" t="str">
        <x:v>P0</x:v>
      </x:c>
      <x:c r="H56" s="12" t="str"/>
      <x:c r="I56" s="12" t="str">
        <x:v>Not Tested</x:v>
      </x:c>
      <x:c r="J56" s="12" t="str"/>
      <x:c r="K56" s="12" t="str"/>
      <x:c r="L56" s="12" t="str"/>
    </x:row>
    <x:row r="57">
      <x:c r="A57" s="12" t="str">
        <x:v>EC-056</x:v>
      </x:c>
      <x:c r="B57" s="12" t="str">
        <x:v>Buka Undangan</x:v>
      </x:c>
      <x:c r="C57" s="12" t="str">
        <x:v>Button radius pill</x:v>
      </x:c>
      <x:c r="D57" s="12" t="str">
        <x:v>Opening feature</x:v>
      </x:c>
      <x:c r="E57" s="12" t="str">
        <x:v>Set radius 999 / pill</x:v>
      </x:c>
      <x:c r="F57" s="12" t="str">
        <x:v>Pill button consistent everywhere.</x:v>
      </x:c>
      <x:c r="G57" s="12" t="str">
        <x:v>P0</x:v>
      </x:c>
      <x:c r="H57" s="12" t="str"/>
      <x:c r="I57" s="12" t="str">
        <x:v>Not Tested</x:v>
      </x:c>
      <x:c r="J57" s="12" t="str"/>
      <x:c r="K57" s="12" t="str"/>
      <x:c r="L57" s="12" t="str"/>
    </x:row>
    <x:row r="58">
      <x:c r="A58" s="12" t="str">
        <x:v>EC-057</x:v>
      </x:c>
      <x:c r="B58" s="12" t="str">
        <x:v>Buka Undangan</x:v>
      </x:c>
      <x:c r="C58" s="12" t="str">
        <x:v>Custom icon none</x:v>
      </x:c>
      <x:c r="D58" s="12" t="str">
        <x:v>Opening feature</x:v>
      </x:c>
      <x:c r="E58" s="12" t="str">
        <x:v>Hide icon</x:v>
      </x:c>
      <x:c r="F58" s="12" t="str">
        <x:v>Button label remains centered and accessible.</x:v>
      </x:c>
      <x:c r="G58" s="12" t="str">
        <x:v>P1</x:v>
      </x:c>
      <x:c r="H58" s="12" t="str"/>
      <x:c r="I58" s="12" t="str">
        <x:v>Not Tested</x:v>
      </x:c>
      <x:c r="J58" s="12" t="str"/>
      <x:c r="K58" s="12" t="str"/>
      <x:c r="L58" s="12" t="str"/>
    </x:row>
    <x:row r="59">
      <x:c r="A59" s="12" t="str">
        <x:v>EC-058</x:v>
      </x:c>
      <x:c r="B59" s="12" t="str">
        <x:v>Buka Undangan</x:v>
      </x:c>
      <x:c r="C59" s="12" t="str">
        <x:v>Custom icon replacement</x:v>
      </x:c>
      <x:c r="D59" s="12" t="str">
        <x:v>Choose alternative icon</x:v>
      </x:c>
      <x:c r="E59" s="12" t="str">
        <x:v>Preview/public</x:v>
      </x:c>
      <x:c r="F59" s="12" t="str">
        <x:v>Correct icon persists and scales.</x:v>
      </x:c>
      <x:c r="G59" s="12" t="str">
        <x:v>P0</x:v>
      </x:c>
      <x:c r="H59" s="12" t="str"/>
      <x:c r="I59" s="12" t="str">
        <x:v>Not Tested</x:v>
      </x:c>
      <x:c r="J59" s="12" t="str"/>
      <x:c r="K59" s="12" t="str"/>
      <x:c r="L59" s="12" t="str"/>
    </x:row>
    <x:row r="60">
      <x:c r="A60" s="12" t="str">
        <x:v>EC-059</x:v>
      </x:c>
      <x:c r="B60" s="12" t="str">
        <x:v>Buka Undangan</x:v>
      </x:c>
      <x:c r="C60" s="12" t="str">
        <x:v>Slide Up</x:v>
      </x:c>
      <x:c r="D60" s="12" t="str">
        <x:v>Opening feature</x:v>
      </x:c>
      <x:c r="E60" s="12" t="str">
        <x:v>Select Slide Up, open invitation</x:v>
      </x:c>
      <x:c r="F60" s="12" t="str">
        <x:v>Cover exits upward smoothly; content enters correctly.</x:v>
      </x:c>
      <x:c r="G60" s="12" t="str">
        <x:v>P0</x:v>
      </x:c>
      <x:c r="H60" s="12" t="str">
        <x:v>SRC-04</x:v>
      </x:c>
      <x:c r="I60" s="12" t="str">
        <x:v>Not Tested</x:v>
      </x:c>
      <x:c r="J60" s="12" t="str"/>
      <x:c r="K60" s="12" t="str"/>
      <x:c r="L60" s="12" t="str"/>
    </x:row>
    <x:row r="61">
      <x:c r="A61" s="12" t="str">
        <x:v>EC-060</x:v>
      </x:c>
      <x:c r="B61" s="12" t="str">
        <x:v>Buka Undangan</x:v>
      </x:c>
      <x:c r="C61" s="12" t="str">
        <x:v>Slide Down</x:v>
      </x:c>
      <x:c r="D61" s="12" t="str">
        <x:v>Opening feature</x:v>
      </x:c>
      <x:c r="E61" s="12" t="str">
        <x:v>Select Slide Down</x:v>
      </x:c>
      <x:c r="F61" s="12" t="str">
        <x:v>Cover exits downward without scroll jump.</x:v>
      </x:c>
      <x:c r="G61" s="12" t="str">
        <x:v>P0</x:v>
      </x:c>
      <x:c r="H61" s="12" t="str">
        <x:v>SRC-04</x:v>
      </x:c>
      <x:c r="I61" s="12" t="str">
        <x:v>Not Tested</x:v>
      </x:c>
      <x:c r="J61" s="12" t="str"/>
      <x:c r="K61" s="12" t="str"/>
      <x:c r="L61" s="12" t="str"/>
    </x:row>
    <x:row r="62">
      <x:c r="A62" s="12" t="str">
        <x:v>EC-061</x:v>
      </x:c>
      <x:c r="B62" s="12" t="str">
        <x:v>Buka Undangan</x:v>
      </x:c>
      <x:c r="C62" s="12" t="str">
        <x:v>Rapid double-click</x:v>
      </x:c>
      <x:c r="D62" s="12" t="str">
        <x:v>Opening button</x:v>
      </x:c>
      <x:c r="E62" s="12" t="str">
        <x:v>Double-click quickly</x:v>
      </x:c>
      <x:c r="F62" s="12" t="str">
        <x:v>Only one transition; no duplicate timers/state corruption.</x:v>
      </x:c>
      <x:c r="G62" s="12" t="str">
        <x:v>P1</x:v>
      </x:c>
      <x:c r="H62" s="12" t="str"/>
      <x:c r="I62" s="12" t="str">
        <x:v>Not Tested</x:v>
      </x:c>
      <x:c r="J62" s="12" t="str"/>
      <x:c r="K62" s="12" t="str"/>
      <x:c r="L62" s="12" t="str"/>
    </x:row>
    <x:row r="63">
      <x:c r="A63" s="12" t="str">
        <x:v>EC-062</x:v>
      </x:c>
      <x:c r="B63" s="12" t="str">
        <x:v>Buka Undangan</x:v>
      </x:c>
      <x:c r="C63" s="12" t="str">
        <x:v>Long button label</x:v>
      </x:c>
      <x:c r="D63" s="12" t="str">
        <x:v>60-char label</x:v>
      </x:c>
      <x:c r="E63" s="12" t="str">
        <x:v>Preview mobile</x:v>
      </x:c>
      <x:c r="F63" s="12" t="str">
        <x:v>Button wraps/resizes without overflow.</x:v>
      </x:c>
      <x:c r="G63" s="12" t="str">
        <x:v>P1</x:v>
      </x:c>
      <x:c r="H63" s="12" t="str"/>
      <x:c r="I63" s="12" t="str">
        <x:v>Not Tested</x:v>
      </x:c>
      <x:c r="J63" s="12" t="str"/>
      <x:c r="K63" s="12" t="str"/>
      <x:c r="L63" s="12" t="str"/>
    </x:row>
    <x:row r="64">
      <x:c r="A64" s="12" t="str">
        <x:v>EC-063</x:v>
      </x:c>
      <x:c r="B64" s="12" t="str">
        <x:v>Buka Undangan</x:v>
      </x:c>
      <x:c r="C64" s="12" t="str">
        <x:v>4 columns</x:v>
      </x:c>
      <x:c r="D64" s="12" t="str">
        <x:v>Opening canvas 4 columns</x:v>
      </x:c>
      <x:c r="E64" s="12" t="str">
        <x:v>Preview mobile/desktop</x:v>
      </x:c>
      <x:c r="F64" s="12" t="str">
        <x:v>Opening remains legible and tap target usable.</x:v>
      </x:c>
      <x:c r="G64" s="12" t="str">
        <x:v>P0</x:v>
      </x:c>
      <x:c r="H64" s="12" t="str"/>
      <x:c r="I64" s="12" t="str">
        <x:v>Not Tested</x:v>
      </x:c>
      <x:c r="J64" s="12" t="str"/>
      <x:c r="K64" s="12" t="str"/>
      <x:c r="L64" s="12" t="str"/>
    </x:row>
    <x:row r="65">
      <x:c r="A65" s="12" t="str">
        <x:v>EC-064</x:v>
      </x:c>
      <x:c r="B65" s="12" t="str">
        <x:v>Buka Undangan</x:v>
      </x:c>
      <x:c r="C65" s="12" t="str">
        <x:v>No background image</x:v>
      </x:c>
      <x:c r="D65" s="12" t="str">
        <x:v>media none</x:v>
      </x:c>
      <x:c r="E65" s="12" t="str">
        <x:v>Publish</x:v>
      </x:c>
      <x:c r="F65" s="12" t="str">
        <x:v>No legacy/default image leaks into cover.</x:v>
      </x:c>
      <x:c r="G65" s="12" t="str">
        <x:v>P0</x:v>
      </x:c>
      <x:c r="H65" s="12" t="str"/>
      <x:c r="I65" s="12" t="str">
        <x:v>Not Tested</x:v>
      </x:c>
      <x:c r="J65" s="12" t="str"/>
      <x:c r="K65" s="12" t="str"/>
      <x:c r="L65" s="12" t="str"/>
    </x:row>
    <x:row r="66">
      <x:c r="A66" s="12" t="str">
        <x:v>EC-065</x:v>
      </x:c>
      <x:c r="B66" s="12" t="str">
        <x:v>Buka Undangan</x:v>
      </x:c>
      <x:c r="C66" s="12" t="str">
        <x:v>Background repeat</x:v>
      </x:c>
      <x:c r="D66" s="12" t="str">
        <x:v>small pattern image</x:v>
      </x:c>
      <x:c r="E66" s="12" t="str">
        <x:v>Set repeat/contain</x:v>
      </x:c>
      <x:c r="F66" s="12" t="str">
        <x:v>Expected repeat behavior without distortion.</x:v>
      </x:c>
      <x:c r="G66" s="12" t="str">
        <x:v>P1</x:v>
      </x:c>
      <x:c r="H66" s="12" t="str"/>
      <x:c r="I66" s="12" t="str">
        <x:v>Not Tested</x:v>
      </x:c>
      <x:c r="J66" s="12" t="str"/>
      <x:c r="K66" s="12" t="str"/>
      <x:c r="L66" s="12" t="str"/>
    </x:row>
    <x:row r="67">
      <x:c r="A67" s="12" t="str">
        <x:v>EC-066</x:v>
      </x:c>
      <x:c r="B67" s="12" t="str">
        <x:v>Buka Undangan</x:v>
      </x:c>
      <x:c r="C67" s="12" t="str">
        <x:v>Reduced motion</x:v>
      </x:c>
      <x:c r="D67" s="12" t="str">
        <x:v>OS reduce motion</x:v>
      </x:c>
      <x:c r="E67" s="12" t="str">
        <x:v>Open invitation</x:v>
      </x:c>
      <x:c r="F67" s="12" t="str">
        <x:v>Transition reduced to short fade/instant according to policy.</x:v>
      </x:c>
      <x:c r="G67" s="12" t="str">
        <x:v>P0</x:v>
      </x:c>
      <x:c r="H67" s="12" t="str">
        <x:v>SRC-07</x:v>
      </x:c>
      <x:c r="I67" s="12" t="str">
        <x:v>Not Tested</x:v>
      </x:c>
      <x:c r="J67" s="12" t="str"/>
      <x:c r="K67" s="12" t="str"/>
      <x:c r="L67" s="12" t="str"/>
    </x:row>
  </x:sheetData>
  <x:conditionalFormatting sqref="I2:I67">
    <x:cfRule type="expression" dxfId="46" priority="1">
      <x:formula>I2="Pass"</x:formula>
    </x:cfRule>
    <x:cfRule type="expression" dxfId="47" priority="2">
      <x:formula>I2="Fail"</x:formula>
    </x:cfRule>
    <x:cfRule type="expression" dxfId="48" priority="3">
      <x:formula>I2="Blocked"</x:formula>
    </x:cfRule>
  </x:conditionalFormatting>
  <x:dataValidations count="1">
    <x:dataValidation type="list" sqref="I2:I67">
      <x:formula1>"Not Tested,Pass,Fail,Blocked"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aa8b18169c494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  <x:col min="3" max="3" width="46" hidden="0" customWidth="1"/>
    <x:col min="4" max="4" width="48" hidden="0" customWidth="1"/>
    <x:col min="5" max="5" width="22" hidden="0" customWidth="1"/>
    <x:col min="6" max="6" width="30" hidden="0" customWidth="1"/>
  </x:cols>
  <x:sheetData>
    <x:row r="1" ht="28" customHeight="1">
      <x:c r="A1" s="30" t="str">
        <x:v>How to Execute This UX QA</x:v>
      </x:c>
      <x:c r="B1" s="30"/>
      <x:c r="C1" s="30"/>
      <x:c r="D1" s="30"/>
      <x:c r="E1" s="30"/>
      <x:c r="F1" s="30"/>
    </x:row>
    <x:row r="3">
      <x:c r="A3" s="6" t="str">
        <x:v>Step</x:v>
      </x:c>
      <x:c r="B3" s="6" t="str">
        <x:v>Instruction</x:v>
      </x:c>
      <x:c r="C3" s="6" t="str">
        <x:v>Evidence to Capture</x:v>
      </x:c>
      <x:c r="D3" s="6" t="str">
        <x:v>Pass Expectation</x:v>
      </x:c>
      <x:c r="E3" s="6" t="str">
        <x:v>Who</x:v>
      </x:c>
      <x:c r="F3" s="6" t="str">
        <x:v>Notes</x:v>
      </x:c>
    </x:row>
    <x:row r="4">
      <x:c r="A4" s="12" t="str">
        <x:v>1. Prepare</x:v>
      </x:c>
      <x:c r="B4" s="12" t="str">
        <x:v>Use staging v0.14 or newer. Clear test account state where scenario requires fresh state.</x:v>
      </x:c>
      <x:c r="C4" s="12" t="str">
        <x:v>Build/version, device, browser, account/role.</x:v>
      </x:c>
      <x:c r="D4" s="12" t="str">
        <x:v>Correct environment recorded.</x:v>
      </x:c>
      <x:c r="E4" s="12" t="str">
        <x:v>QA</x:v>
      </x:c>
      <x:c r="F4" s="12" t="str"/>
    </x:row>
    <x:row r="5">
      <x:c r="A5" s="12" t="str">
        <x:v>2. Benchmark mindset</x:v>
      </x:c>
      <x:c r="B5" s="12" t="str">
        <x:v>Do not ask whether UI visually copies Canva/Figma. Ask whether the same interaction principle is as understandable, direct, and predictable.</x:v>
      </x:c>
      <x:c r="C5" s="12" t="str">
        <x:v>Task path, hesitation, wrong clicks.</x:v>
      </x:c>
      <x:c r="D5" s="12" t="str">
        <x:v>Tester understands action without training.</x:v>
      </x:c>
      <x:c r="E5" s="12" t="str">
        <x:v>QA/Product</x:v>
      </x:c>
      <x:c r="F5" s="12" t="str"/>
    </x:row>
    <x:row r="6">
      <x:c r="A6" s="12" t="str">
        <x:v>3. Landing task</x:v>
      </x:c>
      <x:c r="B6" s="12" t="str">
        <x:v>Give Viewer task: 'Cari template yang cocok, preview, pahami harga, lalu mulai order.' Do not tell them where to click.</x:v>
      </x:c>
      <x:c r="C6" s="12" t="str">
        <x:v>Time, task success, missed CTA, scroll behavior.</x:v>
      </x:c>
      <x:c r="D6" s="12" t="str">
        <x:v>P0 flow complete without facilitator; no dead control.</x:v>
      </x:c>
      <x:c r="E6" s="12" t="str">
        <x:v>Viewer tester</x:v>
      </x:c>
      <x:c r="F6" s="12" t="str"/>
    </x:row>
    <x:row r="7">
      <x:c r="A7" s="12" t="str">
        <x:v>4. Canvas task</x:v>
      </x:c>
      <x:c r="B7" s="12" t="str">
        <x:v>Give Customer/Web Designer task: 'Tambahkan Greetings, ubah gradient, align feature, preview, undo, save.'</x:v>
      </x:c>
      <x:c r="C7" s="12" t="str">
        <x:v>Screen recording + before/after screenshots.</x:v>
      </x:c>
      <x:c r="D7" s="12" t="str">
        <x:v>What is edited is immediately visible and matches preview.</x:v>
      </x:c>
      <x:c r="E7" s="12" t="str">
        <x:v>Customer / Web Designer</x:v>
      </x:c>
      <x:c r="F7" s="12" t="str"/>
    </x:row>
    <x:row r="8">
      <x:c r="A8" s="12" t="str">
        <x:v>5. Gradient regression</x:v>
      </x:c>
      <x:c r="B8" s="12" t="str">
        <x:v>Run gradient on every Feature Library item, not only Text. Use high-contrast colors to expose masked rendering.</x:v>
      </x:c>
      <x:c r="C8" s="12" t="str">
        <x:v>Editor, Preview, Published screenshots.</x:v>
      </x:c>
      <x:c r="D8" s="12" t="str">
        <x:v>Gradient surface behavior is intentional and consistent.</x:v>
      </x:c>
      <x:c r="E8" s="12" t="str">
        <x:v>QA</x:v>
      </x:c>
      <x:c r="F8" s="12" t="str"/>
    </x:row>
    <x:row r="9">
      <x:c r="A9" s="12" t="str">
        <x:v>6. Alignment regression</x:v>
      </x:c>
      <x:c r="B9" s="12" t="str">
        <x:v>Run left/center/right on every applicable feature. Validate whole feature placement separately from text alignment.</x:v>
      </x:c>
      <x:c r="C9" s="12" t="str">
        <x:v>Screenshots + DOM/visual comparison.</x:v>
      </x:c>
      <x:c r="D9" s="12" t="str">
        <x:v>No feature is missing object alignment without explicit reason.</x:v>
      </x:c>
      <x:c r="E9" s="12" t="str">
        <x:v>QA</x:v>
      </x:c>
      <x:c r="F9" s="12" t="str"/>
    </x:row>
    <x:row r="10">
      <x:c r="A10" s="12" t="str">
        <x:v>7. Buka Undangan</x:v>
      </x:c>
      <x:c r="B10" s="12" t="str">
        <x:v>Test icon, button styling, background, alignment, each opening transition and reduced-motion mode.</x:v>
      </x:c>
      <x:c r="C10" s="12" t="str">
        <x:v>Video capture.</x:v>
      </x:c>
      <x:c r="D10" s="12" t="str">
        <x:v>Editor/Preview/Public are identical enough to trust.</x:v>
      </x:c>
      <x:c r="E10" s="12" t="str">
        <x:v>QA/Product</x:v>
      </x:c>
      <x:c r="F10" s="12" t="str"/>
    </x:row>
    <x:row r="11">
      <x:c r="A11" s="12" t="str">
        <x:v>8. Edge cases</x:v>
      </x:c>
      <x:c r="B11" s="12" t="str">
        <x:v>Execute all P0 Edge Cases before release candidate sign-off.</x:v>
      </x:c>
      <x:c r="C11" s="12" t="str">
        <x:v>Tester result, defect ID.</x:v>
      </x:c>
      <x:c r="D11" s="12" t="str">
        <x:v>100% P0 edge cases Pass or accepted risk.</x:v>
      </x:c>
      <x:c r="E11" s="12" t="str">
        <x:v>QA</x:v>
      </x:c>
      <x:c r="F11" s="12" t="str"/>
    </x:row>
    <x:row r="12">
      <x:c r="A12" s="12" t="str">
        <x:v>9. Defects</x:v>
      </x:c>
      <x:c r="B12" s="12" t="str">
        <x:v>Every Fail creates a Defect Log row and links back to QA ID.</x:v>
      </x:c>
      <x:c r="C12" s="12" t="str">
        <x:v>Defect ID.</x:v>
      </x:c>
      <x:c r="D12" s="12" t="str">
        <x:v>No untracked Fail.</x:v>
      </x:c>
      <x:c r="E12" s="12" t="str">
        <x:v>QA/Engineering</x:v>
      </x:c>
      <x:c r="F12" s="12" t="str"/>
    </x:row>
    <x:row r="13">
      <x:c r="A13" s="12" t="str">
        <x:v>10. Exit gate</x:v>
      </x:c>
      <x:c r="B13" s="12" t="str">
        <x:v>P0 user feedback retest + P0 Landing/Canvas/Feature/Cover + P0 Edge Cases.</x:v>
      </x:c>
      <x:c r="C13" s="12" t="str">
        <x:v>Dashboard + Defect Log.</x:v>
      </x:c>
      <x:c r="D13" s="12" t="str">
        <x:v>0 open Critical; P0 regression 100% Pass; human UAT completed.</x:v>
      </x:c>
      <x:c r="E13" s="12" t="str">
        <x:v>Product/QA</x:v>
      </x:c>
      <x:c r="F13" s="12" t="str"/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36" hidden="0" customWidth="1"/>
    <x:col min="4" max="4" width="22" hidden="0" customWidth="1"/>
    <x:col min="5" max="5" width="12" hidden="0" customWidth="1"/>
    <x:col min="6" max="6" width="10" hidden="0" customWidth="1"/>
    <x:col min="7" max="7" width="12" hidden="0" customWidth="1"/>
    <x:col min="8" max="8" width="16" hidden="0" customWidth="1"/>
    <x:col min="9" max="9" width="50" hidden="0" customWidth="1"/>
    <x:col min="10" max="10" width="44" hidden="0" customWidth="1"/>
    <x:col min="11" max="11" width="44" hidden="0" customWidth="1"/>
    <x:col min="12" max="12" width="28" hidden="0" customWidth="1"/>
    <x:col min="13" max="13" width="18" hidden="0" customWidth="1"/>
    <x:col min="14" max="14" width="16" hidden="0" customWidth="1"/>
    <x:col min="15" max="15" width="14" hidden="0" customWidth="1"/>
    <x:col min="16" max="16" width="14" hidden="0" customWidth="1"/>
    <x:col min="17" max="17" width="30" hidden="0" customWidth="1"/>
  </x:cols>
  <x:sheetData>
    <x:row r="1" ht="28" customHeight="1">
      <x:c r="A1" s="6" t="str">
        <x:v>Defect ID</x:v>
      </x:c>
      <x:c r="B1" s="6" t="str">
        <x:v>QA / Edge ID</x:v>
      </x:c>
      <x:c r="C1" s="6" t="str">
        <x:v>Title</x:v>
      </x:c>
      <x:c r="D1" s="6" t="str">
        <x:v>Area</x:v>
      </x:c>
      <x:c r="E1" s="6" t="str">
        <x:v>Severity</x:v>
      </x:c>
      <x:c r="F1" s="6" t="str">
        <x:v>Priority</x:v>
      </x:c>
      <x:c r="G1" s="6" t="str">
        <x:v>Build</x:v>
      </x:c>
      <x:c r="H1" s="6" t="str">
        <x:v>Status</x:v>
      </x:c>
      <x:c r="I1" s="6" t="str">
        <x:v>Steps to Reproduce</x:v>
      </x:c>
      <x:c r="J1" s="6" t="str">
        <x:v>Expected</x:v>
      </x:c>
      <x:c r="K1" s="6" t="str">
        <x:v>Actual</x:v>
      </x:c>
      <x:c r="L1" s="6" t="str">
        <x:v>Evidence / Screenshot</x:v>
      </x:c>
      <x:c r="M1" s="6" t="str">
        <x:v>Owner</x:v>
      </x:c>
      <x:c r="N1" s="6" t="str">
        <x:v>Fix Version</x:v>
      </x:c>
      <x:c r="O1" s="6" t="str">
        <x:v>Retest Result</x:v>
      </x:c>
      <x:c r="P1" s="6" t="str">
        <x:v>Retest Date</x:v>
      </x:c>
      <x:c r="Q1" s="6" t="str">
        <x:v>Notes</x:v>
      </x:c>
    </x:row>
  </x:sheetData>
  <x:conditionalFormatting sqref="O2:O500">
    <x:cfRule type="expression" dxfId="49" priority="1">
      <x:formula>O2="Pass"</x:formula>
    </x:cfRule>
    <x:cfRule type="expression" dxfId="50" priority="2">
      <x:formula>O2="Fail"</x:formula>
    </x:cfRule>
    <x:cfRule type="expression" dxfId="51" priority="3">
      <x:formula>O2="Blocked"</x:formula>
    </x:cfRule>
  </x:conditionalFormatting>
  <x:conditionalFormatting sqref="H2:H500">
    <x:cfRule type="expression" dxfId="52" priority="4">
      <x:formula>H2="Closed"</x:formula>
    </x:cfRule>
    <x:cfRule type="expression" dxfId="53" priority="5">
      <x:formula>H2="Open"</x:formula>
    </x:cfRule>
  </x:conditionalFormatting>
  <x:dataValidations count="4">
    <x:dataValidation type="list" sqref="E2:E500">
      <x:formula1>"Critical,High,Medium,Low"</x:formula1>
    </x:dataValidation>
    <x:dataValidation type="list" sqref="F2:F500">
      <x:formula1>"P0,P1,P2"</x:formula1>
    </x:dataValidation>
    <x:dataValidation type="list" sqref="H2:H500">
      <x:formula1>"Open,In Progress,Ready to Retest,Closed,Accepted Risk"</x:formula1>
    </x:dataValidation>
    <x:dataValidation type="list" sqref="O2:O500">
      <x:formula1>"Not Tested,Pass,Fail,Blocked"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8" customHeight="1">
      <x:c r="A1" s="6" t="str">
        <x:v>Pre-Audit Status</x:v>
      </x:c>
      <x:c r="B1" s="6" t="str">
        <x:v>Tester Result</x:v>
      </x:c>
      <x:c r="C1" s="6" t="str">
        <x:v>Priority</x:v>
      </x:c>
      <x:c r="D1" s="6" t="str">
        <x:v>Severity</x:v>
      </x:c>
      <x:c r="E1" s="6" t="str">
        <x:v>Build</x:v>
      </x:c>
    </x:row>
    <x:row r="2">
      <x:c r="A2" t="str">
        <x:v>Meets</x:v>
      </x:c>
      <x:c r="B2" t="str">
        <x:v>Not Tested</x:v>
      </x:c>
      <x:c r="C2" t="str">
        <x:v>P0</x:v>
      </x:c>
      <x:c r="D2" t="str">
        <x:v>Critical</x:v>
      </x:c>
      <x:c r="E2" t="str">
        <x:v>v0.14</x:v>
      </x:c>
    </x:row>
    <x:row r="3">
      <x:c r="A3" t="str">
        <x:v>Partial</x:v>
      </x:c>
      <x:c r="B3" t="str">
        <x:v>Pass</x:v>
      </x:c>
      <x:c r="C3" t="str">
        <x:v>P1</x:v>
      </x:c>
      <x:c r="D3" t="str">
        <x:v>High</x:v>
      </x:c>
      <x:c r="E3" t="str"/>
    </x:row>
    <x:row r="4">
      <x:c r="A4" t="str">
        <x:v>Gap</x:v>
      </x:c>
      <x:c r="B4" t="str">
        <x:v>Fail</x:v>
      </x:c>
      <x:c r="C4" t="str">
        <x:v>P2</x:v>
      </x:c>
      <x:c r="D4" t="str">
        <x:v>Medium</x:v>
      </x:c>
      <x:c r="E4" t="str"/>
    </x:row>
    <x:row r="5">
      <x:c r="A5" t="str">
        <x:v>Fail</x:v>
      </x:c>
      <x:c r="B5" t="str">
        <x:v>Blocked</x:v>
      </x:c>
      <x:c r="C5" t="str"/>
      <x:c r="D5" t="str">
        <x:v>Low</x:v>
      </x:c>
      <x:c r="E5" t="str"/>
    </x:row>
    <x:row r="6">
      <x:c r="A6" t="str">
        <x:v>Needs User Test</x:v>
      </x:c>
      <x:c r="B6" t="str"/>
      <x:c r="C6" t="str"/>
      <x:c r="D6" t="str"/>
      <x:c r="E6" t="str"/>
    </x:row>
    <x:row r="7">
      <x:c r="A7" t="str"/>
      <x:c r="B7" t="str"/>
      <x:c r="C7" t="str"/>
      <x:c r="D7" t="str"/>
      <x:c r="E7" t="str"/>
    </x:row>
    <x:row r="8">
      <x:c r="A8" t="str"/>
      <x:c r="B8" t="str"/>
      <x:c r="C8" t="str"/>
      <x:c r="D8" t="str"/>
      <x:c r="E8" t="str"/>
    </x:row>
    <x:row r="9">
      <x:c r="A9" t="str"/>
      <x:c r="B9" t="str"/>
      <x:c r="C9" t="str"/>
      <x:c r="D9" t="str"/>
      <x:c r="E9" t="str"/>
    </x:row>
    <x:row r="10">
      <x:c r="A10" t="str"/>
      <x:c r="B10" t="str"/>
      <x:c r="C10" t="str"/>
      <x:c r="D10" t="str"/>
      <x:c r="E10" t="str"/>
    </x:row>
  </x:sheetData>
  <x:pageMargins left="0.7" right="0.7" top="0.75" bottom="0.75" header="0.3" footer="0.3"/>
</x:worksheet>
</file>